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xampp\htdocs\DATN\GR29\"/>
    </mc:Choice>
  </mc:AlternateContent>
  <xr:revisionPtr revIDLastSave="0" documentId="13_ncr:1_{809EC52B-DA7F-485C-9135-A674492576AF}" xr6:coauthVersionLast="47" xr6:coauthVersionMax="47" xr10:uidLastSave="{00000000-0000-0000-0000-000000000000}"/>
  <bookViews>
    <workbookView xWindow="-120" yWindow="-120" windowWidth="20730" windowHeight="11160" activeTab="4" xr2:uid="{00000000-000D-0000-FFFF-FFFF00000000}"/>
  </bookViews>
  <sheets>
    <sheet name="Nhận Thông Báo" sheetId="1" r:id="rId1"/>
    <sheet name="Cập Nhật GPS" sheetId="2" r:id="rId2"/>
    <sheet name="Cập Nhật Tiến Độ" sheetId="3" r:id="rId3"/>
    <sheet name="Nộp Báo Cáo" sheetId="4" r:id="rId4"/>
    <sheet name="Yêu Cầu Tài Nguyên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5" i="5" l="1"/>
  <c r="E5" i="5"/>
  <c r="D5" i="5"/>
  <c r="C5" i="5"/>
  <c r="B5" i="5"/>
  <c r="F4" i="5"/>
  <c r="E4" i="5"/>
  <c r="D4" i="5"/>
  <c r="C4" i="5"/>
  <c r="B4" i="5"/>
  <c r="F5" i="4"/>
  <c r="E5" i="4"/>
  <c r="D5" i="4"/>
  <c r="C5" i="4"/>
  <c r="B5" i="4"/>
  <c r="F4" i="4"/>
  <c r="E4" i="4"/>
  <c r="D4" i="4"/>
  <c r="C4" i="4"/>
  <c r="B4" i="4"/>
  <c r="F5" i="3"/>
  <c r="E5" i="3"/>
  <c r="D5" i="3"/>
  <c r="C5" i="3"/>
  <c r="B5" i="3"/>
  <c r="F4" i="3"/>
  <c r="E4" i="3"/>
  <c r="D4" i="3"/>
  <c r="C4" i="3"/>
  <c r="B4" i="3"/>
  <c r="F5" i="2"/>
  <c r="E5" i="2"/>
  <c r="D5" i="2"/>
  <c r="C5" i="2"/>
  <c r="B5" i="2"/>
  <c r="F4" i="2"/>
  <c r="E4" i="2"/>
  <c r="D4" i="2"/>
  <c r="C4" i="2"/>
  <c r="B4" i="2"/>
  <c r="F5" i="1"/>
  <c r="E5" i="1"/>
  <c r="D5" i="1"/>
  <c r="C5" i="1"/>
  <c r="B5" i="1"/>
  <c r="F4" i="1"/>
  <c r="E4" i="1"/>
  <c r="D4" i="1"/>
  <c r="C4" i="1"/>
  <c r="B4" i="1"/>
</calcChain>
</file>

<file path=xl/sharedStrings.xml><?xml version="1.0" encoding="utf-8"?>
<sst xmlns="http://schemas.openxmlformats.org/spreadsheetml/2006/main" count="750" uniqueCount="391">
  <si>
    <t>Project Name</t>
  </si>
  <si>
    <t>Thiết kế và phát triển hệ thống điều phối cứu hộ thông minh trong thiên tai</t>
  </si>
  <si>
    <t>Module Code</t>
  </si>
  <si>
    <t>Nhận Thông Báo Nhiệm Vụ Mới</t>
  </si>
  <si>
    <t>Hoàn thành</t>
  </si>
  <si>
    <t>Lỗi</t>
  </si>
  <si>
    <t>Chưa kiểm tra</t>
  </si>
  <si>
    <t>Round 1</t>
  </si>
  <si>
    <t>Round 2</t>
  </si>
  <si>
    <t>Test Case ID</t>
  </si>
  <si>
    <t>Mô tả</t>
  </si>
  <si>
    <t>Điều kiện tiên quyết</t>
  </si>
  <si>
    <t>Kết quả mong đợi</t>
  </si>
  <si>
    <t>Kết quả thực tế</t>
  </si>
  <si>
    <t>Kết quả</t>
  </si>
  <si>
    <t>Chú thích</t>
  </si>
  <si>
    <t>Vòng 1</t>
  </si>
  <si>
    <t>Vòng 2</t>
  </si>
  <si>
    <t>Trạng thái</t>
  </si>
  <si>
    <t>Ngày kiểm tra</t>
  </si>
  <si>
    <t>Người kiểm tra</t>
  </si>
  <si>
    <t>GUI_SHOW Giao diện thông báo nhiệm vụ</t>
  </si>
  <si>
    <t>GUI-NTB01</t>
  </si>
  <si>
    <t>[Push notification] Thông báo đẩy</t>
  </si>
  <si>
    <t>Kiểm tra thông báo</t>
  </si>
  <si>
    <t>Cứu hộ viên đăng nhập trên thiết bị</t>
  </si>
  <si>
    <t>-Thông báo đẩy hiển thị tiêu đề, nội dung tóm tắt nhiệm vụ mới
-Có icon phân biệt loại thông báo</t>
  </si>
  <si>
    <t>GUI-NTB02</t>
  </si>
  <si>
    <t>[Danh sách thông báo] In-app</t>
  </si>
  <si>
    <t>Kiểm tra in-app</t>
  </si>
  <si>
    <t>Cứu hộ viên đã đăng nhập</t>
  </si>
  <si>
    <t>-Danh sách thông báo sắp xếp mới nhất lên trên
-Phân biệt đã đọc/chưa đọc</t>
  </si>
  <si>
    <t>GUI-NTB03</t>
  </si>
  <si>
    <t>[Chi tiết thông báo] Detail view</t>
  </si>
  <si>
    <t>Kiểm tra chi tiết</t>
  </si>
  <si>
    <t>Có thông báo trong hệ thống</t>
  </si>
  <si>
    <t>-Hiển thị: Tên nhiệm vụ, Vị trí, Mức ưu tiên, Thời gian, Tên đội
-Nút "Xác nhận nhận nhiệm vụ"</t>
  </si>
  <si>
    <t>GUI-NTB04</t>
  </si>
  <si>
    <t>[Badge số lượng] Thông báo chưa đọc</t>
  </si>
  <si>
    <t>Kiểm tra badge</t>
  </si>
  <si>
    <t>Có thông báo chưa đọc</t>
  </si>
  <si>
    <t>Badge số đỏ hiển thị số thông báo chưa đọc trên icon chuông</t>
  </si>
  <si>
    <t>GUI-NTB05</t>
  </si>
  <si>
    <t>[Âm thanh] Khi nhận thông báo mới</t>
  </si>
  <si>
    <t>Kiểm tra âm thanh</t>
  </si>
  <si>
    <t>Cứu hộ viên đang dùng app</t>
  </si>
  <si>
    <t>Phát âm thanh cảnh báo khi có thông báo nhiệm vụ khẩn cấp</t>
  </si>
  <si>
    <t>FUNCTION_SHOW Chức năng nhận thông báo</t>
  </si>
  <si>
    <t>FUNC-NTB01</t>
  </si>
  <si>
    <t>Nhận thông báo khi được phân công nhiệm vụ</t>
  </si>
  <si>
    <t>1. Admin phân công nhiệm vụ cho đội
2. Quan sát thiết bị cứu hộ viên</t>
  </si>
  <si>
    <t>Cứu hộ viên đăng nhập, bật push notification</t>
  </si>
  <si>
    <t>Thông báo đẩy xuất hiện trong vòng 15 giây với đầy đủ thông tin nhiệm vụ</t>
  </si>
  <si>
    <t>FUNC-NTB02</t>
  </si>
  <si>
    <t>Mở thông báo chuyển thẳng đến chi tiết nhiệm vụ</t>
  </si>
  <si>
    <t>1. Click vào thông báo nhiệm vụ mới</t>
  </si>
  <si>
    <t>Có thông báo nhiệm vụ</t>
  </si>
  <si>
    <t>Chuyển thẳng đến màn hình chi tiết nhiệm vụ tương ứng</t>
  </si>
  <si>
    <t>FUNC-NTB03</t>
  </si>
  <si>
    <t>Đánh dấu đã đọc thông báo</t>
  </si>
  <si>
    <t>1. Click vào thông báo
2. Xem chi tiết
3. Quay lại danh sách</t>
  </si>
  <si>
    <t>Thông báo chuyển trạng thái "Đã đọc", badge giảm 1</t>
  </si>
  <si>
    <t>FUNC-NTB04</t>
  </si>
  <si>
    <t>Nhận thông báo khi app đang tắt</t>
  </si>
  <si>
    <t>1. Tắt app
2. Admin phân công nhiệm vụ mới</t>
  </si>
  <si>
    <t>Cứu hộ viên đã đăng xuất hoặc tắt app</t>
  </si>
  <si>
    <t>Push notification xuất hiện trên màn hình thiết bị</t>
  </si>
  <si>
    <t>FUNC-NTB05</t>
  </si>
  <si>
    <t>Xác nhận nhận nhiệm vụ</t>
  </si>
  <si>
    <t>1. Mở thông báo nhiệm vụ
2. Click "Xác nhận nhận nhiệm vụ"</t>
  </si>
  <si>
    <t>Có thông báo nhiệm vụ mới</t>
  </si>
  <si>
    <t>Hệ thống ghi nhận xác nhận, trạng thái chuyển "Đang thực hiện", Admin thấy cập nhật</t>
  </si>
  <si>
    <t>FUNC-NTB06</t>
  </si>
  <si>
    <t>Thông báo hủy nhiệm vụ khi phân công lại</t>
  </si>
  <si>
    <t>1. Admin phân công lại nhiệm vụ sang đội khác</t>
  </si>
  <si>
    <t>Đội A đang thực hiện nhiệm vụ</t>
  </si>
  <si>
    <t>Đội A nhận thông báo: "Nhiệm vụ X đã được chuyển sang đội khác"</t>
  </si>
  <si>
    <t>FUNC-NTB07</t>
  </si>
  <si>
    <t>Xóa thông báo cũ</t>
  </si>
  <si>
    <t>1. Vuốt trái thông báo
2. Click "Xóa"</t>
  </si>
  <si>
    <t>Có thông báo trong danh sách</t>
  </si>
  <si>
    <t>Thông báo bị xóa khỏi danh sách</t>
  </si>
  <si>
    <t>FUNC-NTB08</t>
  </si>
  <si>
    <t>Xóa tất cả thông báo đã đọc</t>
  </si>
  <si>
    <t>1. Click "Xóa tất cả đã đọc"</t>
  </si>
  <si>
    <t>Có thông báo đã đọc</t>
  </si>
  <si>
    <t>Tất cả thông báo đã đọc bị xóa, chỉ còn thông báo chưa đọc</t>
  </si>
  <si>
    <t>FUNC-NTB09</t>
  </si>
  <si>
    <t>Không nhận thông báo khi bị khóa tài khoản</t>
  </si>
  <si>
    <t>1. Admin khóa tài khoản cứu hộ viên
2. Phân công nhiệm vụ cho đội</t>
  </si>
  <si>
    <t>Tài khoản bị khóa</t>
  </si>
  <si>
    <t>Cứu hộ viên không nhận được thông báo, hệ thống cảnh báo tài khoản bị khóa</t>
  </si>
  <si>
    <t>FUNC-NTB10</t>
  </si>
  <si>
    <t>Lịch sử thông báo lưu 30 ngày</t>
  </si>
  <si>
    <t>1. Xem thông báo từ 25 ngày trước</t>
  </si>
  <si>
    <t>Có thông báo cũ trong hệ thống</t>
  </si>
  <si>
    <t>Thông báo cũ vẫn còn trong danh sách, hiển thị đúng thời gian</t>
  </si>
  <si>
    <t>Cập Nhật Vị Trí GPS Real-time</t>
  </si>
  <si>
    <t>GUI_SHOW Giao diện cập nhật GPS</t>
  </si>
  <si>
    <t>GUI-GPS01</t>
  </si>
  <si>
    <t>[Bản đồ] Hiển thị vị trí hiện tại</t>
  </si>
  <si>
    <t>Kiểm tra bản đồ</t>
  </si>
  <si>
    <t>Cứu hộ viên đang thực hiện nhiệm vụ</t>
  </si>
  <si>
    <t>-Bản đồ hiển thị vị trí hiện tại của cứu hộ viên bằng marker
-Có đường chỉ đến vị trí YC</t>
  </si>
  <si>
    <t>GUI-GPS02</t>
  </si>
  <si>
    <t>[Trạng thái GPS] Indicator</t>
  </si>
  <si>
    <t>Kiểm tra indicator</t>
  </si>
  <si>
    <t>Cứu hộ viên đang hoạt động</t>
  </si>
  <si>
    <t>-Hiển thị: "Đang cập nhật vị trí" hoặc "Vị trí đã cập nhật lúc HH:mm"
-Màu xanh khi tín hiệu tốt, đỏ khi mất</t>
  </si>
  <si>
    <t>GUI-GPS03</t>
  </si>
  <si>
    <t>[Toggle GPS] Bật/tắt GPS</t>
  </si>
  <si>
    <t>Kiểm tra toggle</t>
  </si>
  <si>
    <t>-Toggle GPS hiển thị trạng thái bật/tắt rõ ràng
-Cảnh báo khi tắt GPS trong nhiệm vụ</t>
  </si>
  <si>
    <t>GUI-GPS04</t>
  </si>
  <si>
    <t>[Khoảng cách] Đến hiện trường</t>
  </si>
  <si>
    <t>Kiểm tra hiển thị</t>
  </si>
  <si>
    <t>Cứu hộ viên đang di chuyển</t>
  </si>
  <si>
    <t>-Hiển thị khoảng cách còn lại đến vị trí YC
-Thời gian ước tính đến nơi</t>
  </si>
  <si>
    <t>GUI-GPS05</t>
  </si>
  <si>
    <t>[Nút Đường đi] Mở app bản đồ</t>
  </si>
  <si>
    <t>Kiểm tra nút</t>
  </si>
  <si>
    <t>-Nút "Chỉ đường" mở Google Maps/app bản đồ với điểm đến là vị trí YC</t>
  </si>
  <si>
    <t>FUNCTION_SHOW Chức năng cập nhật GPS</t>
  </si>
  <si>
    <t>FUNC-GPS01</t>
  </si>
  <si>
    <t>Vị trí cập nhật tự động khi thực hiện nhiệm vụ</t>
  </si>
  <si>
    <t>1. Bắt đầu thực hiện nhiệm vụ
2. Di chuyển đến vị trí khác
3. Quan sát bản đồ Admin</t>
  </si>
  <si>
    <t>Cứu hộ viên đã nhận nhiệm vụ</t>
  </si>
  <si>
    <t>Vị trí cứu hộ viên cập nhật trên bản đồ Admin trong vòng 30 giây</t>
  </si>
  <si>
    <t>FUNC-GPS02</t>
  </si>
  <si>
    <t>GPS cập nhật tần suất đúng quy định</t>
  </si>
  <si>
    <t>1. Bắt đầu nhiệm vụ
2. Đo thời gian giữa các lần cập nhật</t>
  </si>
  <si>
    <t>Vị trí cập nhật đúng tần suất 15-30 giây một lần</t>
  </si>
  <si>
    <t>FUNC-GPS03</t>
  </si>
  <si>
    <t>GPS mất tín hiệu - giữ vị trí cuối</t>
  </si>
  <si>
    <t>1. Di vào khu vực không có GPS
2. Quan sát bản đồ Admin</t>
  </si>
  <si>
    <t>Cứu hộ viên đang nhiệm vụ</t>
  </si>
  <si>
    <t>Hệ thống giữ vị trí cuối cùng, hiển thị cảnh báo mất tín hiệu GPS</t>
  </si>
  <si>
    <t>FUNC-GPS04</t>
  </si>
  <si>
    <t>Tắt GPS thủ công</t>
  </si>
  <si>
    <t>1. Click toggle tắt GPS</t>
  </si>
  <si>
    <t>GPS đang bật</t>
  </si>
  <si>
    <t>Hệ thống ngừng cập nhật vị trí, hiển thị "GPS đã tắt", Admin thấy icon xám</t>
  </si>
  <si>
    <t>FUNC-GPS05</t>
  </si>
  <si>
    <t>Bật GPS trở lại sau khi tắt</t>
  </si>
  <si>
    <t>1. Click toggle bật GPS</t>
  </si>
  <si>
    <t>GPS đang tắt</t>
  </si>
  <si>
    <t>Hệ thống bắt đầu cập nhật vị trí trở lại, lấy vị trí hiện tại mới nhất</t>
  </si>
  <si>
    <t>FUNC-GPS06</t>
  </si>
  <si>
    <t>Admin xem lịch sử di chuyển cứu hộ viên</t>
  </si>
  <si>
    <t>1. Admin vào chi tiết nhiệm vụ
2. Xem tab "Lịch sử di chuyển"</t>
  </si>
  <si>
    <t>Nhiệm vụ đang thực hiện</t>
  </si>
  <si>
    <t>Hiển thị đường di chuyển của đội trên bản đồ theo thời gian thực</t>
  </si>
  <si>
    <t>FUNC-GPS07</t>
  </si>
  <si>
    <t>GPS tự động bật khi bắt đầu nhiệm vụ</t>
  </si>
  <si>
    <t>1. Xác nhận nhận nhiệm vụ</t>
  </si>
  <si>
    <t>Cứu hộ viên vừa xác nhận nhiệm vụ</t>
  </si>
  <si>
    <t>Hệ thống tự động bật GPS tracking khi bắt đầu nhiệm vụ</t>
  </si>
  <si>
    <t>FUNC-GPS08</t>
  </si>
  <si>
    <t>GPS tự động tắt sau khi hoàn thành nhiệm vụ</t>
  </si>
  <si>
    <t>1. Nộp báo cáo hoàn thành nhiệm vụ</t>
  </si>
  <si>
    <t>Vừa hoàn thành nhiệm vụ</t>
  </si>
  <si>
    <t>GPS tracking tự động dừng, không tiêu tốn pin thêm</t>
  </si>
  <si>
    <t>FUNC-GPS09</t>
  </si>
  <si>
    <t>Thông báo khi pin thấp ảnh hưởng GPS</t>
  </si>
  <si>
    <t>1. Pin thiết bị xuống dưới 15%</t>
  </si>
  <si>
    <t>Thông báo: "Pin thấp có thể ảnh hưởng đến GPS, vui lòng sạc thiết bị"</t>
  </si>
  <si>
    <t>FUNC-GPS10</t>
  </si>
  <si>
    <t>Vị trí GPS chính xác trong vòng 50m</t>
  </si>
  <si>
    <t>1. So sánh vị trí GPS hiển thị với vị trí thực tế</t>
  </si>
  <si>
    <t>Điều kiện GPS tốt</t>
  </si>
  <si>
    <t>Vị trí hiển thị sai lệch không quá 50m so với vị trí thực tế</t>
  </si>
  <si>
    <t>Cập Nhật Tiến Độ Xử Lý</t>
  </si>
  <si>
    <t>GUI_SHOW Giao diện cập nhật tiến độ</t>
  </si>
  <si>
    <t>GUI-TDXL01</t>
  </si>
  <si>
    <t>[Thanh tiến độ] Progress bar</t>
  </si>
  <si>
    <t>Kiểm tra giao diện</t>
  </si>
  <si>
    <t>-Thanh tiến độ hiển thị % hoàn thành
-Các mốc tiến độ: Đến nơi, Đang xử lý, Hoàn thành</t>
  </si>
  <si>
    <t>GUI-TDXL02</t>
  </si>
  <si>
    <t>[Các bước nhiệm vụ] Step list</t>
  </si>
  <si>
    <t>Kiểm tra danh sách bước</t>
  </si>
  <si>
    <t>Đang thực hiện nhiệm vụ</t>
  </si>
  <si>
    <t>-Hiển thị các bước: Đang đến hiện trường, Đã đến nơi, Đang xử lý, Hoàn thành
-Bước hiện tại được highlight</t>
  </si>
  <si>
    <t>GUI-TDXL03</t>
  </si>
  <si>
    <t>[Ghi chú tiến độ] Textbox</t>
  </si>
  <si>
    <t>Kiểm tra textbox</t>
  </si>
  <si>
    <t>-Placeholder: "Nhập ghi chú tình hình hiện trường..."
-Giới hạn 500 ký tự</t>
  </si>
  <si>
    <t>GUI-TDXL04</t>
  </si>
  <si>
    <t>[Upload ảnh tiến độ] Camera/Gallery</t>
  </si>
  <si>
    <t>Kiểm tra upload</t>
  </si>
  <si>
    <t>-Nút chụp ảnh hoặc chọn từ thư viện
-Preview ảnh đã chọn</t>
  </si>
  <si>
    <t>GUI-TDXL05</t>
  </si>
  <si>
    <t>[Phần trăm hoàn thành] Input số</t>
  </si>
  <si>
    <t>Kiểm tra input</t>
  </si>
  <si>
    <t>Đang xử lý nhiệm vụ</t>
  </si>
  <si>
    <t>-Ô nhập % hoàn thành (0-100)
-Không thể nhập giá trị âm hoặc &gt; 100</t>
  </si>
  <si>
    <t>FUNCTION_SHOW Chức năng cập nhật tiến độ</t>
  </si>
  <si>
    <t>FUNC-TDXL01</t>
  </si>
  <si>
    <t>Cập nhật trạng thái "Đã đến nơi"</t>
  </si>
  <si>
    <t>1. Click "Đã đến nơi"
2. Hệ thống ghi nhận thời gian</t>
  </si>
  <si>
    <t>Cứu hộ viên đang di chuyển đến</t>
  </si>
  <si>
    <t>Trạng thái cập nhật, ghi nhận thời gian đến, Admin nhận thông báo, người dân thấy cập nhật</t>
  </si>
  <si>
    <t>FUNC-TDXL02</t>
  </si>
  <si>
    <t>Cập nhật trạng thái "Bắt đầu xử lý"</t>
  </si>
  <si>
    <t>1. Click "Bắt đầu xử lý"
2. Nhập ghi chú tình hình hiện trường</t>
  </si>
  <si>
    <t>Cứu hộ viên đã đến nơi</t>
  </si>
  <si>
    <t>Trạng thái "Đang xử lý", đồng hồ tính thời gian xử lý bắt đầu</t>
  </si>
  <si>
    <t>FUNC-TDXL03</t>
  </si>
  <si>
    <t>Cập nhật phần trăm hoàn thành</t>
  </si>
  <si>
    <t>1. Nhập % hoàn thành (vd: 60%)
2. Click Cập nhật</t>
  </si>
  <si>
    <t>Đang ở bước Xử lý</t>
  </si>
  <si>
    <t>% hoàn thành được lưu, Admin và người dân có thể xem</t>
  </si>
  <si>
    <t>FUNC-TDXL04</t>
  </si>
  <si>
    <t>Ghi chú kèm ảnh tình hình hiện trường</t>
  </si>
  <si>
    <t>1. Chụp ảnh hiện trường
2. Nhập ghi chú
3. Click Cập nhật</t>
  </si>
  <si>
    <t>Ảnh và ghi chú được lưu, hiển thị trong lịch sử cập nhật của nhiệm vụ</t>
  </si>
  <si>
    <t>FUNC-TDXL05</t>
  </si>
  <si>
    <t>Không thể quay lại bước đã hoàn thành</t>
  </si>
  <si>
    <t>1. Đã cập nhật "Đang xử lý"
2. Thử quay lại "Chờ xử lý"</t>
  </si>
  <si>
    <t>Hệ thống không cho phép quay lui bước, hiển thị thông báo</t>
  </si>
  <si>
    <t>FUNC-TDXL06</t>
  </si>
  <si>
    <t>Người dân xem tiến độ xử lý</t>
  </si>
  <si>
    <t>1. Người dân vào xem trạng thái YC của mình</t>
  </si>
  <si>
    <t>YC đang được xử lý</t>
  </si>
  <si>
    <t>Người dân thấy được tiến độ xử lý % và thời gian ước tính hoàn thành</t>
  </si>
  <si>
    <t>FUNC-TDXL07</t>
  </si>
  <si>
    <t>Admin xem tiến độ tất cả nhiệm vụ</t>
  </si>
  <si>
    <t>1. Admin vào Dashboard
2. Xem danh sách nhiệm vụ đang xử lý</t>
  </si>
  <si>
    <t>Có nhiệm vụ đang thực hiện</t>
  </si>
  <si>
    <t>Admin thấy % tiến độ của tất cả nhiệm vụ, có thể lọc theo đội/khu vực</t>
  </si>
  <si>
    <t>FUNC-TDXL08</t>
  </si>
  <si>
    <t>Cập nhật tiến độ khi mất mạng</t>
  </si>
  <si>
    <t>1. Tắt mạng
2. Cập nhật tiến độ</t>
  </si>
  <si>
    <t>Đang thực hiện, mất internet</t>
  </si>
  <si>
    <t>Hệ thống lưu cục bộ, tự đồng bộ lên server khi có mạng trở lại</t>
  </si>
  <si>
    <t>FUNC-TDXL09</t>
  </si>
  <si>
    <t>Cảnh báo khi tiến độ bị đình trệ</t>
  </si>
  <si>
    <t>1. Không cập nhật tiến độ trong 30 phút</t>
  </si>
  <si>
    <t>Admin nhận cảnh báo: "Đội X không cập nhật tiến độ trong 30 phút"</t>
  </si>
  <si>
    <t>FUNC-TDXL10</t>
  </si>
  <si>
    <t>Lịch sử cập nhật tiến độ đầy đủ</t>
  </si>
  <si>
    <t>1. Xem tab "Lịch sử" của nhiệm vụ</t>
  </si>
  <si>
    <t>Nhiệm vụ đã có cập nhật</t>
  </si>
  <si>
    <t>Hiển thị timeline: thời gian, người cập nhật, nội dung ghi chú, ảnh đính kèm</t>
  </si>
  <si>
    <t>Nộp Báo Cáo Kết Quả Và Ảnh Minh Chứng</t>
  </si>
  <si>
    <t>GUI_SHOW Giao diện nộp báo cáo kết quả</t>
  </si>
  <si>
    <t>GUI-NBC01</t>
  </si>
  <si>
    <t>[Form báo cáo] Các trường nhập</t>
  </si>
  <si>
    <t>Nhiệm vụ sắp/đã hoàn thành</t>
  </si>
  <si>
    <t>-Hiển thị: Tóm tắt kết quả, Tình trạng hiện trường, Số người đã hỗ trợ, Ảnh minh chứng, Chữ ký</t>
  </si>
  <si>
    <t>GUI-NBC02</t>
  </si>
  <si>
    <t>[Upload ảnh] Multi-image upload</t>
  </si>
  <si>
    <t>Cứu hộ viên đang nộp báo cáo</t>
  </si>
  <si>
    <t>-Cho phép chọn tối đa 10 ảnh
-Preview thumbnail ảnh đã chọn
-Nút xóa ảnh đã chọn</t>
  </si>
  <si>
    <t>GUI-NBC03</t>
  </si>
  <si>
    <t>[Chữ ký số] Signature pad</t>
  </si>
  <si>
    <t>Kiểm tra chữ ký</t>
  </si>
  <si>
    <t>-Ô vẽ chữ ký trên màn hình cảm ứng
-Nút "Xóa" và "Xác nhận chữ ký"</t>
  </si>
  <si>
    <t>GUI-NBC04</t>
  </si>
  <si>
    <t>[Nút Nộp báo cáo] Button</t>
  </si>
  <si>
    <t>Đã điền đủ thông tin bắt buộc</t>
  </si>
  <si>
    <t>-Nút "Nộp báo cáo" chỉ active khi có ảnh và chữ ký
-Màu xanh lá</t>
  </si>
  <si>
    <t>GUI-NBC05</t>
  </si>
  <si>
    <t>[Tóm tắt kết quả] Textbox</t>
  </si>
  <si>
    <t>-Placeholder: "Mô tả kết quả xử lý tình huống..."
-Giới hạn 1000 ký tự
-Hiện số ký tự còn lại</t>
  </si>
  <si>
    <t>FUNCTION_SHOW Chức năng nộp báo cáo</t>
  </si>
  <si>
    <t>FUNC-NBC01</t>
  </si>
  <si>
    <t>Nộp báo cáo thành công đầy đủ</t>
  </si>
  <si>
    <t>1. Nhập tóm tắt kết quả
2. Upload ≥1 ảnh minh chứng
3. Ký tên
4. Click "Nộp báo cáo"</t>
  </si>
  <si>
    <t>Nhiệm vụ đã xử lý xong</t>
  </si>
  <si>
    <t>Báo cáo nộp thành công, nhiệm vụ chuyển "Chờ duyệt", Admin nhận thông báo báo cáo mới</t>
  </si>
  <si>
    <t>FUNC-NBC02</t>
  </si>
  <si>
    <t>Nộp báo cáo thiếu ảnh minh chứng</t>
  </si>
  <si>
    <t>1. Nhập tóm tắt, ký tên
2. Không upload ảnh
3. Click "Nộp báo cáo"</t>
  </si>
  <si>
    <t>Đang ở màn hình nộp báo cáo</t>
  </si>
  <si>
    <t>Thông báo lỗi: "Vui lòng upload tối thiểu 1 ảnh minh chứng"</t>
  </si>
  <si>
    <t>FUNC-NBC03</t>
  </si>
  <si>
    <t>Nộp báo cáo chưa ký tên</t>
  </si>
  <si>
    <t>1. Điền đầy đủ, upload ảnh
2. Bỏ qua phần chữ ký
3. Click "Nộp báo cáo"</t>
  </si>
  <si>
    <t>Thông báo lỗi: "Vui lòng ký xác nhận hoàn thành nhiệm vụ"</t>
  </si>
  <si>
    <t>FUNC-NBC04</t>
  </si>
  <si>
    <t>Upload ảnh quá lớn</t>
  </si>
  <si>
    <t>1. Chọn ảnh &gt; 10MB
2. Thử upload</t>
  </si>
  <si>
    <t>Đang nộp báo cáo</t>
  </si>
  <si>
    <t>Thông báo lỗi: "Ảnh quá lớn, vui lòng chọn ảnh nhỏ hơn 10MB"</t>
  </si>
  <si>
    <t>FUNC-NBC05</t>
  </si>
  <si>
    <t>Upload quá số lượng ảnh cho phép</t>
  </si>
  <si>
    <t>1. Thử chọn 11 ảnh</t>
  </si>
  <si>
    <t>Thông báo: "Chỉ được upload tối đa 10 ảnh"</t>
  </si>
  <si>
    <t>FUNC-NBC06</t>
  </si>
  <si>
    <t>Admin duyệt báo cáo</t>
  </si>
  <si>
    <t>1. Admin vào danh sách báo cáo chờ duyệt
2. Xem báo cáo
3. Click "Duyệt"</t>
  </si>
  <si>
    <t>Cứu hộ viên đã nộp báo cáo</t>
  </si>
  <si>
    <t>Báo cáo được duyệt, nhiệm vụ đóng "Hoàn thành", người dân nhận thông báo, form đánh giá xuất hiện</t>
  </si>
  <si>
    <t>FUNC-NBC07</t>
  </si>
  <si>
    <t>Admin từ chối báo cáo</t>
  </si>
  <si>
    <t>1. Admin xem báo cáo
2. Click "Từ chối"
3. Nhập lý do</t>
  </si>
  <si>
    <t>Có báo cáo chờ duyệt</t>
  </si>
  <si>
    <t>Báo cáo bị từ chối, cứu hộ viên nhận thông báo với lý do, cần nộp lại báo cáo</t>
  </si>
  <si>
    <t>FUNC-NBC08</t>
  </si>
  <si>
    <t>Cứu hộ viên nộp lại báo cáo sau từ chối</t>
  </si>
  <si>
    <t>1. Xem lý do từ chối
2. Bổ sung thông tin
3. Nộp lại</t>
  </si>
  <si>
    <t>Báo cáo bị từ chối</t>
  </si>
  <si>
    <t>Báo cáo mới nộp thay thế báo cáo cũ, Admin nhận thông báo báo cáo mới</t>
  </si>
  <si>
    <t>FUNC-NBC09</t>
  </si>
  <si>
    <t>Nộp báo cáo khi mất mạng</t>
  </si>
  <si>
    <t>1. Tắt mạng
2. Điền báo cáo
3. Click Nộp</t>
  </si>
  <si>
    <t>Đang nộp, mất internet</t>
  </si>
  <si>
    <t>Hệ thống lưu báo cáo cục bộ, tự đồng bộ khi có mạng, thông báo "Sẽ nộp khi có mạng"</t>
  </si>
  <si>
    <t>FUNC-NBC10</t>
  </si>
  <si>
    <t>Xem lịch sử báo cáo đã nộp</t>
  </si>
  <si>
    <t>1. Vào màn hình lịch sử nhiệm vụ
2. Xem báo cáo đã nộp</t>
  </si>
  <si>
    <t>Hiển thị báo cáo với đầy đủ: nội dung, ảnh, chữ ký, trạng thái duyệt</t>
  </si>
  <si>
    <t>Yêu Cầu Tài Nguyên Bổ Sung</t>
  </si>
  <si>
    <t>GUI_SHOW Giao diện yêu cầu tài nguyên bổ sung</t>
  </si>
  <si>
    <t>GUI-YCTN01</t>
  </si>
  <si>
    <t>[Form yêu cầu] Giao diện</t>
  </si>
  <si>
    <t>-Hiển thị: Loại tài nguyên, Số lượng, Lý do, Mức khẩn cấp
-Tất cả trường hiển thị rõ ràng</t>
  </si>
  <si>
    <t>GUI-YCTN02</t>
  </si>
  <si>
    <t>[Loại tài nguyên] Dropdown</t>
  </si>
  <si>
    <t>Kiểm tra dropdown</t>
  </si>
  <si>
    <t>Đang ở form yêu cầu</t>
  </si>
  <si>
    <t>-Dropdown: Xe cứu thương, Bơm nước, Máy phát điện, Nhân lực, Thuốc men, Thực phẩm, Khác
-Status: enable</t>
  </si>
  <si>
    <t>GUI-YCTN03</t>
  </si>
  <si>
    <t>[Mức khẩn cấp] Radio button</t>
  </si>
  <si>
    <t>Kiểm tra radio</t>
  </si>
  <si>
    <t>-Các mức: Khẩn cấp ngay, Trong 1 giờ, Trong 3 giờ
-Mặc định: Trong 1 giờ</t>
  </si>
  <si>
    <t>GUI-YCTN04</t>
  </si>
  <si>
    <t>[Nút Gửi yêu cầu] Button</t>
  </si>
  <si>
    <t>Đã điền đủ thông tin</t>
  </si>
  <si>
    <t>-Nút "Gửi yêu cầu tài nguyên" màu cam
-Status: enable khi đủ thông tin bắt buộc</t>
  </si>
  <si>
    <t>GUI-YCTN05</t>
  </si>
  <si>
    <t>[Lịch sử yêu cầu] Danh sách</t>
  </si>
  <si>
    <t>Kiểm tra danh sách</t>
  </si>
  <si>
    <t>Có yêu cầu tài nguyên trước đó</t>
  </si>
  <si>
    <t>Danh sách yêu cầu: Loại, Số lượng, Thời gian, Trạng thái (Chờ/Chấp thuận/Từ chối)</t>
  </si>
  <si>
    <t>FUNCTION_SHOW Chức năng yêu cầu tài nguyên</t>
  </si>
  <si>
    <t>FUNC-YCTN01</t>
  </si>
  <si>
    <t>Gửi yêu cầu tài nguyên thành công</t>
  </si>
  <si>
    <t>1. Chọn Loại: Xe cứu thương
2. Nhập Số lượng: 2
3. Nhập lý do
4. Chọn mức: Khẩn cấp ngay
5. Click "Gửi yêu cầu"</t>
  </si>
  <si>
    <t>Yêu cầu gửi thành công, Admin nhận thông báo yêu cầu tài nguyên khẩn cấp</t>
  </si>
  <si>
    <t>FUNC-YCTN02</t>
  </si>
  <si>
    <t>Gửi yêu cầu khi thiếu thông tin bắt buộc</t>
  </si>
  <si>
    <t>1. Chọn loại tài nguyên
2. Để trống lý do
3. Click Gửi</t>
  </si>
  <si>
    <t>Thông báo lỗi trên trường còn thiếu</t>
  </si>
  <si>
    <t>FUNC-YCTN03</t>
  </si>
  <si>
    <t>Admin nhận thông báo yêu cầu khẩn cấp ngay</t>
  </si>
  <si>
    <t>1. Gửi yêu cầu mức "Khẩn cấp ngay"
2. Quan sát màn hình Admin</t>
  </si>
  <si>
    <t>Admin đang đăng nhập</t>
  </si>
  <si>
    <t>Admin nhận push notification trong vòng 15 giây với thông tin yêu cầu</t>
  </si>
  <si>
    <t>FUNC-YCTN04</t>
  </si>
  <si>
    <t>Admin chấp thuận yêu cầu tài nguyên</t>
  </si>
  <si>
    <t>1. Admin vào Dashboard
2. Xem yêu cầu tài nguyên
3. Click "Chấp thuận"
4. Nhập ghi chú</t>
  </si>
  <si>
    <t>Có yêu cầu tài nguyên</t>
  </si>
  <si>
    <t>Yêu cầu được chấp thuận, cứu hộ viên nhận thông báo: "Yêu cầu tài nguyên đã được chấp thuận"</t>
  </si>
  <si>
    <t>FUNC-YCTN05</t>
  </si>
  <si>
    <t>Admin từ chối yêu cầu tài nguyên</t>
  </si>
  <si>
    <t>1. Admin xem yêu cầu
2. Click "Từ chối"
3. Nhập lý do</t>
  </si>
  <si>
    <t>Yêu cầu bị từ chối, cứu hộ viên nhận thông báo với lý do từ chối</t>
  </si>
  <si>
    <t>FUNC-YCTN06</t>
  </si>
  <si>
    <t>Cứu hộ viên xem kết quả xử lý yêu cầu</t>
  </si>
  <si>
    <t>1. Sau khi gửi yêu cầu
2. Kiểm tra danh sách yêu cầu</t>
  </si>
  <si>
    <t>Đã gửi yêu cầu</t>
  </si>
  <si>
    <t>Hiển thị trạng thái yêu cầu: Chờ duyệt / Chấp thuận / Từ chối</t>
  </si>
  <si>
    <t>FUNC-YCTN07</t>
  </si>
  <si>
    <t>Xem lịch sử tất cả yêu cầu tài nguyên</t>
  </si>
  <si>
    <t>1. Vào mục "Yêu cầu tài nguyên của tôi"</t>
  </si>
  <si>
    <t>Có yêu cầu đã gửi</t>
  </si>
  <si>
    <t>Hiển thị lịch sử đầy đủ với: Loại, Số lượng, Thời gian, Lý do, Trạng thái</t>
  </si>
  <si>
    <t>FUNC-YCTN08</t>
  </si>
  <si>
    <t>Gửi nhiều yêu cầu tài nguyên cùng lúc</t>
  </si>
  <si>
    <t>1. Gửi yêu cầu lần 1
2. Gửi yêu cầu lần 2 (loại khác)</t>
  </si>
  <si>
    <t>Cả 2 yêu cầu được ghi nhận và Admin nhận đủ 2 thông báo</t>
  </si>
  <si>
    <t>FUNC-YCTN09</t>
  </si>
  <si>
    <t>Hủy yêu cầu tài nguyên chưa được xử lý</t>
  </si>
  <si>
    <t>1. Vào danh sách yêu cầu
2. Click "Hủy" yêu cầu Chờ duyệt
3. Xác nhận</t>
  </si>
  <si>
    <t>Có yêu cầu đang Chờ duyệt</t>
  </si>
  <si>
    <t>Yêu cầu bị hủy, Admin thấy yêu cầu đã bị hủy trong dashboard</t>
  </si>
  <si>
    <t>FUNC-YCTN10</t>
  </si>
  <si>
    <t>Không thể hủy yêu cầu đã được duyệt</t>
  </si>
  <si>
    <t>1. Xem yêu cầu đã Chấp thuận
2. Kiểm tra tùy chọn hủy</t>
  </si>
  <si>
    <t>Yêu cầu đã được duyệt</t>
  </si>
  <si>
    <t>Nút "Hủy" bị ẩn hoặc vô hiệu hóa, không thể hủy yêu cầu đã duyệt</t>
  </si>
  <si>
    <t>Bị chăn</t>
  </si>
  <si>
    <t>Tổng số trường hợp thử nghiệm</t>
  </si>
  <si>
    <t>Quy trình</t>
  </si>
  <si>
    <t>Pass</t>
  </si>
  <si>
    <t>Hiếu</t>
  </si>
  <si>
    <t>Công</t>
  </si>
  <si>
    <t>Thức</t>
  </si>
  <si>
    <t>Trí</t>
  </si>
  <si>
    <t xml:space="preserve"> Đạt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</si>
</sst>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mm\-yy;@"/>
  </numFmts>
  <fonts count="7" x14ac:knownFonts="1">
    <font>
      <sz val="11"/>
      <color theme="1"/>
      <name val="Calibri"/>
      <family val="2"/>
      <scheme val="minor"/>
    </font>
    <font>
      <b/>
      <sz val="14"/>
      <color theme="0"/>
      <name val="Times New Roman"/>
      <family val="1"/>
    </font>
    <font>
      <sz val="14"/>
      <color theme="1"/>
      <name val="Times New Roman"/>
      <family val="1"/>
    </font>
    <font>
      <b/>
      <sz val="14"/>
      <color rgb="FFFFFFFF"/>
      <name val="Times New Roman"/>
      <family val="1"/>
    </font>
    <font>
      <b/>
      <sz val="14"/>
      <color indexed="9"/>
      <name val="Times New Roman"/>
      <family val="1"/>
    </font>
    <font>
      <sz val="13"/>
      <color rgb="FF000000"/>
      <name val="Times New Roman"/>
      <family val="1"/>
    </font>
    <font>
      <sz val="14"/>
      <color rgb="FF00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008080"/>
        <bgColor rgb="FF008080"/>
      </patternFill>
    </fill>
    <fill>
      <patternFill patternType="solid">
        <fgColor indexed="21"/>
        <bgColor indexed="38"/>
      </patternFill>
    </fill>
    <fill>
      <patternFill patternType="solid">
        <fgColor rgb="FFCCFF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/>
    </xf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3" fillId="2" borderId="1" xfId="0" applyFont="1" applyFill="1" applyBorder="1" applyAlignment="1">
      <alignment vertical="center" wrapText="1"/>
    </xf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2" fillId="0" borderId="0" xfId="0" applyFont="1" applyAlignment="1">
      <alignment wrapText="1"/>
    </xf>
    <xf numFmtId="0" fontId="2" fillId="0" borderId="0" xfId="0" applyFont="1"/>
    <xf numFmtId="0" fontId="2" fillId="0" borderId="2" xfId="0" applyFont="1" applyBorder="1" applyAlignment="1">
      <alignment horizontal="left" wrapText="1"/>
    </xf>
    <xf numFmtId="0" fontId="2" fillId="0" borderId="3" xfId="0" applyFont="1" applyBorder="1" applyAlignment="1">
      <alignment horizontal="left" wrapText="1"/>
    </xf>
    <xf numFmtId="0" fontId="2" fillId="0" borderId="4" xfId="0" applyFont="1" applyBorder="1" applyAlignment="1">
      <alignment horizontal="left" wrapText="1"/>
    </xf>
    <xf numFmtId="0" fontId="4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left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5" borderId="1" xfId="0" applyFont="1" applyFill="1" applyBorder="1"/>
    <xf numFmtId="0" fontId="5" fillId="0" borderId="1" xfId="0" applyFont="1" applyBorder="1"/>
    <xf numFmtId="0" fontId="6" fillId="6" borderId="1" xfId="0" applyFont="1" applyFill="1" applyBorder="1"/>
    <xf numFmtId="0" fontId="6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1"/>
  <sheetViews>
    <sheetView topLeftCell="A13" zoomScale="40" zoomScaleNormal="40" workbookViewId="0">
      <selection activeCell="E27" sqref="E27"/>
    </sheetView>
  </sheetViews>
  <sheetFormatPr defaultRowHeight="18.75" x14ac:dyDescent="0.3"/>
  <cols>
    <col min="1" max="1" width="41.5703125" style="13" bestFit="1" customWidth="1"/>
    <col min="2" max="2" width="68.85546875" style="12" bestFit="1" customWidth="1"/>
    <col min="3" max="3" width="64.85546875" style="12" bestFit="1" customWidth="1"/>
    <col min="4" max="4" width="44.140625" style="12" customWidth="1"/>
    <col min="5" max="5" width="90.5703125" style="12" bestFit="1" customWidth="1"/>
    <col min="6" max="6" width="53.42578125" style="13" bestFit="1" customWidth="1"/>
    <col min="7" max="7" width="17.7109375" style="12" customWidth="1"/>
    <col min="8" max="8" width="23.7109375" style="13" bestFit="1" customWidth="1"/>
    <col min="9" max="9" width="24.42578125" style="13" bestFit="1" customWidth="1"/>
    <col min="10" max="10" width="17.7109375" style="13" bestFit="1" customWidth="1"/>
    <col min="11" max="11" width="23.7109375" style="13" bestFit="1" customWidth="1"/>
    <col min="12" max="12" width="24.42578125" style="13" bestFit="1" customWidth="1"/>
    <col min="13" max="13" width="17.7109375" style="13" bestFit="1" customWidth="1"/>
    <col min="14" max="16384" width="9.140625" style="13"/>
  </cols>
  <sheetData>
    <row r="1" spans="1:13" x14ac:dyDescent="0.3">
      <c r="A1" s="8" t="s">
        <v>0</v>
      </c>
      <c r="B1" s="9" t="s">
        <v>1</v>
      </c>
      <c r="C1" s="10"/>
      <c r="D1" s="10"/>
      <c r="E1" s="10"/>
      <c r="F1" s="11"/>
    </row>
    <row r="2" spans="1:13" x14ac:dyDescent="0.3">
      <c r="A2" s="8" t="s">
        <v>2</v>
      </c>
      <c r="B2" s="14" t="s">
        <v>3</v>
      </c>
      <c r="C2" s="15"/>
      <c r="D2" s="15"/>
      <c r="E2" s="15"/>
      <c r="F2" s="16"/>
    </row>
    <row r="3" spans="1:13" x14ac:dyDescent="0.3">
      <c r="A3" s="6"/>
      <c r="B3" s="17" t="s">
        <v>4</v>
      </c>
      <c r="C3" s="17" t="s">
        <v>5</v>
      </c>
      <c r="D3" s="17" t="s">
        <v>6</v>
      </c>
      <c r="E3" s="17" t="s">
        <v>382</v>
      </c>
      <c r="F3" s="17" t="s">
        <v>383</v>
      </c>
    </row>
    <row r="4" spans="1:13" x14ac:dyDescent="0.3">
      <c r="A4" s="6" t="s">
        <v>7</v>
      </c>
      <c r="B4" s="7">
        <f>COUNTIF(G16:G80,"Passed")</f>
        <v>0</v>
      </c>
      <c r="C4" s="7">
        <f>COUNTIF(G16:G80,"Failed")</f>
        <v>0</v>
      </c>
      <c r="D4" s="7">
        <f>COUNTIF(G16:G80,"Untested")</f>
        <v>0</v>
      </c>
      <c r="E4" s="7">
        <f>COUNTIF(G16:G80,"Blocked")</f>
        <v>0</v>
      </c>
      <c r="F4" s="6">
        <f>COUNTA(A16:A80)</f>
        <v>16</v>
      </c>
    </row>
    <row r="5" spans="1:13" x14ac:dyDescent="0.3">
      <c r="A5" s="6" t="s">
        <v>8</v>
      </c>
      <c r="B5" s="7">
        <f>COUNTIF(J16:J80,"Passed")</f>
        <v>0</v>
      </c>
      <c r="C5" s="7">
        <f>COUNTIF(J16:J80,"Failed")</f>
        <v>0</v>
      </c>
      <c r="D5" s="7">
        <f>COUNTIF(J16:J80,"Untested")</f>
        <v>0</v>
      </c>
      <c r="E5" s="7">
        <f>COUNTIF(J16:J80,"Blocked")</f>
        <v>0</v>
      </c>
      <c r="F5" s="6">
        <f>COUNTA(A16:A80)</f>
        <v>16</v>
      </c>
    </row>
    <row r="12" spans="1:13" x14ac:dyDescent="0.3">
      <c r="A12" s="1" t="s">
        <v>9</v>
      </c>
      <c r="B12" s="1" t="s">
        <v>10</v>
      </c>
      <c r="C12" s="1" t="s">
        <v>384</v>
      </c>
      <c r="D12" s="1" t="s">
        <v>11</v>
      </c>
      <c r="E12" s="2" t="s">
        <v>12</v>
      </c>
      <c r="F12" s="1" t="s">
        <v>13</v>
      </c>
      <c r="G12" s="1" t="s">
        <v>14</v>
      </c>
      <c r="H12" s="1"/>
      <c r="I12" s="1"/>
      <c r="J12" s="1" t="s">
        <v>14</v>
      </c>
      <c r="K12" s="1"/>
      <c r="L12" s="1"/>
      <c r="M12" s="1" t="s">
        <v>15</v>
      </c>
    </row>
    <row r="13" spans="1:13" x14ac:dyDescent="0.3">
      <c r="A13" s="1"/>
      <c r="B13" s="1"/>
      <c r="C13" s="1"/>
      <c r="D13" s="1"/>
      <c r="E13" s="2"/>
      <c r="F13" s="1"/>
      <c r="G13" s="1" t="s">
        <v>16</v>
      </c>
      <c r="H13" s="1"/>
      <c r="I13" s="1"/>
      <c r="J13" s="1" t="s">
        <v>17</v>
      </c>
      <c r="K13" s="1"/>
      <c r="L13" s="1"/>
      <c r="M13" s="1"/>
    </row>
    <row r="14" spans="1:13" x14ac:dyDescent="0.3">
      <c r="A14" s="1"/>
      <c r="B14" s="1"/>
      <c r="C14" s="1"/>
      <c r="D14" s="1"/>
      <c r="E14" s="2"/>
      <c r="F14" s="1"/>
      <c r="G14" s="3" t="s">
        <v>18</v>
      </c>
      <c r="H14" s="4" t="s">
        <v>19</v>
      </c>
      <c r="I14" s="3" t="s">
        <v>20</v>
      </c>
      <c r="J14" s="3" t="s">
        <v>18</v>
      </c>
      <c r="K14" s="4" t="s">
        <v>19</v>
      </c>
      <c r="L14" s="3" t="s">
        <v>20</v>
      </c>
      <c r="M14" s="1"/>
    </row>
    <row r="15" spans="1:13" x14ac:dyDescent="0.3">
      <c r="A15" s="5" t="s">
        <v>21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</row>
    <row r="16" spans="1:13" ht="56.25" x14ac:dyDescent="0.3">
      <c r="A16" s="6" t="s">
        <v>22</v>
      </c>
      <c r="B16" s="7" t="s">
        <v>23</v>
      </c>
      <c r="C16" s="7" t="s">
        <v>24</v>
      </c>
      <c r="D16" s="7" t="s">
        <v>25</v>
      </c>
      <c r="E16" s="7" t="s">
        <v>26</v>
      </c>
      <c r="F16" s="7" t="s">
        <v>26</v>
      </c>
      <c r="G16" s="30" t="s">
        <v>385</v>
      </c>
      <c r="H16" s="6"/>
      <c r="I16" s="31" t="s">
        <v>386</v>
      </c>
      <c r="J16" s="6"/>
      <c r="K16" s="6"/>
      <c r="L16" s="6"/>
      <c r="M16" s="6"/>
    </row>
    <row r="17" spans="1:13" ht="37.5" x14ac:dyDescent="0.3">
      <c r="A17" s="6" t="s">
        <v>27</v>
      </c>
      <c r="B17" s="7" t="s">
        <v>28</v>
      </c>
      <c r="C17" s="7" t="s">
        <v>29</v>
      </c>
      <c r="D17" s="7" t="s">
        <v>30</v>
      </c>
      <c r="E17" s="7" t="s">
        <v>31</v>
      </c>
      <c r="F17" s="7" t="s">
        <v>31</v>
      </c>
      <c r="G17" s="30" t="s">
        <v>385</v>
      </c>
      <c r="H17" s="6"/>
      <c r="I17" s="31" t="s">
        <v>386</v>
      </c>
      <c r="J17" s="6"/>
      <c r="K17" s="6"/>
      <c r="L17" s="6"/>
      <c r="M17" s="6"/>
    </row>
    <row r="18" spans="1:13" ht="56.25" x14ac:dyDescent="0.3">
      <c r="A18" s="6" t="s">
        <v>32</v>
      </c>
      <c r="B18" s="7" t="s">
        <v>33</v>
      </c>
      <c r="C18" s="7" t="s">
        <v>34</v>
      </c>
      <c r="D18" s="7" t="s">
        <v>35</v>
      </c>
      <c r="E18" s="7" t="s">
        <v>36</v>
      </c>
      <c r="F18" s="7" t="s">
        <v>36</v>
      </c>
      <c r="G18" s="30" t="s">
        <v>385</v>
      </c>
      <c r="H18" s="6"/>
      <c r="I18" s="31" t="s">
        <v>386</v>
      </c>
      <c r="J18" s="6"/>
      <c r="K18" s="6"/>
      <c r="L18" s="6"/>
      <c r="M18" s="6"/>
    </row>
    <row r="19" spans="1:13" ht="37.5" x14ac:dyDescent="0.3">
      <c r="A19" s="6" t="s">
        <v>37</v>
      </c>
      <c r="B19" s="7" t="s">
        <v>38</v>
      </c>
      <c r="C19" s="7" t="s">
        <v>39</v>
      </c>
      <c r="D19" s="7" t="s">
        <v>40</v>
      </c>
      <c r="E19" s="7" t="s">
        <v>41</v>
      </c>
      <c r="F19" s="7" t="s">
        <v>41</v>
      </c>
      <c r="G19" s="30" t="s">
        <v>385</v>
      </c>
      <c r="H19" s="6"/>
      <c r="I19" s="31" t="s">
        <v>386</v>
      </c>
      <c r="J19" s="6"/>
      <c r="K19" s="6"/>
      <c r="L19" s="6"/>
      <c r="M19" s="6"/>
    </row>
    <row r="20" spans="1:13" ht="37.5" x14ac:dyDescent="0.3">
      <c r="A20" s="6" t="s">
        <v>42</v>
      </c>
      <c r="B20" s="7" t="s">
        <v>43</v>
      </c>
      <c r="C20" s="7" t="s">
        <v>44</v>
      </c>
      <c r="D20" s="7" t="s">
        <v>45</v>
      </c>
      <c r="E20" s="7" t="s">
        <v>46</v>
      </c>
      <c r="F20" s="7" t="s">
        <v>46</v>
      </c>
      <c r="G20" s="30" t="s">
        <v>385</v>
      </c>
      <c r="H20" s="6"/>
      <c r="I20" s="31" t="s">
        <v>386</v>
      </c>
      <c r="J20" s="6"/>
      <c r="K20" s="6"/>
      <c r="L20" s="6"/>
      <c r="M20" s="6"/>
    </row>
    <row r="21" spans="1:13" x14ac:dyDescent="0.3">
      <c r="A21" s="5" t="s">
        <v>47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</row>
    <row r="22" spans="1:13" ht="37.5" x14ac:dyDescent="0.3">
      <c r="A22" s="6" t="s">
        <v>48</v>
      </c>
      <c r="B22" s="7" t="s">
        <v>49</v>
      </c>
      <c r="C22" s="7" t="s">
        <v>50</v>
      </c>
      <c r="D22" s="7" t="s">
        <v>51</v>
      </c>
      <c r="E22" s="7" t="s">
        <v>52</v>
      </c>
      <c r="F22" s="7" t="s">
        <v>52</v>
      </c>
      <c r="G22" s="30" t="s">
        <v>385</v>
      </c>
      <c r="H22" s="6"/>
      <c r="I22" s="31" t="s">
        <v>386</v>
      </c>
      <c r="J22" s="6"/>
      <c r="K22" s="6"/>
      <c r="L22" s="6"/>
      <c r="M22" s="6"/>
    </row>
    <row r="23" spans="1:13" ht="37.5" x14ac:dyDescent="0.3">
      <c r="A23" s="6" t="s">
        <v>53</v>
      </c>
      <c r="B23" s="7" t="s">
        <v>54</v>
      </c>
      <c r="C23" s="7" t="s">
        <v>55</v>
      </c>
      <c r="D23" s="7" t="s">
        <v>56</v>
      </c>
      <c r="E23" s="7" t="s">
        <v>57</v>
      </c>
      <c r="F23" s="7" t="s">
        <v>57</v>
      </c>
      <c r="G23" s="30" t="s">
        <v>385</v>
      </c>
      <c r="H23" s="6"/>
      <c r="I23" s="31" t="s">
        <v>386</v>
      </c>
      <c r="J23" s="6"/>
      <c r="K23" s="6"/>
      <c r="L23" s="6"/>
      <c r="M23" s="6"/>
    </row>
    <row r="24" spans="1:13" ht="56.25" x14ac:dyDescent="0.3">
      <c r="A24" s="6" t="s">
        <v>58</v>
      </c>
      <c r="B24" s="7" t="s">
        <v>59</v>
      </c>
      <c r="C24" s="7" t="s">
        <v>60</v>
      </c>
      <c r="D24" s="7" t="s">
        <v>40</v>
      </c>
      <c r="E24" s="7" t="s">
        <v>61</v>
      </c>
      <c r="F24" s="7" t="s">
        <v>61</v>
      </c>
      <c r="G24" s="30" t="s">
        <v>385</v>
      </c>
      <c r="H24" s="6"/>
      <c r="I24" s="31" t="s">
        <v>386</v>
      </c>
      <c r="J24" s="6"/>
      <c r="K24" s="6"/>
      <c r="L24" s="6"/>
      <c r="M24" s="6"/>
    </row>
    <row r="25" spans="1:13" ht="37.5" x14ac:dyDescent="0.3">
      <c r="A25" s="6" t="s">
        <v>62</v>
      </c>
      <c r="B25" s="7" t="s">
        <v>63</v>
      </c>
      <c r="C25" s="7" t="s">
        <v>64</v>
      </c>
      <c r="D25" s="7" t="s">
        <v>65</v>
      </c>
      <c r="E25" s="7" t="s">
        <v>66</v>
      </c>
      <c r="F25" s="7" t="s">
        <v>66</v>
      </c>
      <c r="G25" s="30" t="s">
        <v>385</v>
      </c>
      <c r="H25" s="6"/>
      <c r="I25" s="31" t="s">
        <v>386</v>
      </c>
      <c r="J25" s="6"/>
      <c r="K25" s="6"/>
      <c r="L25" s="6"/>
      <c r="M25" s="6"/>
    </row>
    <row r="26" spans="1:13" ht="37.5" x14ac:dyDescent="0.3">
      <c r="A26" s="6" t="s">
        <v>67</v>
      </c>
      <c r="B26" s="7" t="s">
        <v>68</v>
      </c>
      <c r="C26" s="7" t="s">
        <v>69</v>
      </c>
      <c r="D26" s="7" t="s">
        <v>70</v>
      </c>
      <c r="E26" s="7" t="s">
        <v>71</v>
      </c>
      <c r="F26" s="7" t="s">
        <v>71</v>
      </c>
      <c r="G26" s="30" t="s">
        <v>385</v>
      </c>
      <c r="H26" s="6"/>
      <c r="I26" s="31" t="s">
        <v>386</v>
      </c>
      <c r="J26" s="6"/>
      <c r="K26" s="6"/>
      <c r="L26" s="6"/>
      <c r="M26" s="6"/>
    </row>
    <row r="27" spans="1:13" ht="37.5" x14ac:dyDescent="0.3">
      <c r="A27" s="6" t="s">
        <v>72</v>
      </c>
      <c r="B27" s="7" t="s">
        <v>73</v>
      </c>
      <c r="C27" s="7" t="s">
        <v>74</v>
      </c>
      <c r="D27" s="7" t="s">
        <v>75</v>
      </c>
      <c r="E27" s="7" t="s">
        <v>76</v>
      </c>
      <c r="F27" s="7" t="s">
        <v>76</v>
      </c>
      <c r="G27" s="30" t="s">
        <v>385</v>
      </c>
      <c r="H27" s="6"/>
      <c r="I27" s="31" t="s">
        <v>386</v>
      </c>
      <c r="J27" s="6"/>
      <c r="K27" s="6"/>
      <c r="L27" s="6"/>
      <c r="M27" s="6"/>
    </row>
    <row r="28" spans="1:13" ht="37.5" x14ac:dyDescent="0.3">
      <c r="A28" s="6" t="s">
        <v>77</v>
      </c>
      <c r="B28" s="7" t="s">
        <v>78</v>
      </c>
      <c r="C28" s="7" t="s">
        <v>79</v>
      </c>
      <c r="D28" s="7" t="s">
        <v>80</v>
      </c>
      <c r="E28" s="7" t="s">
        <v>81</v>
      </c>
      <c r="F28" s="7" t="s">
        <v>81</v>
      </c>
      <c r="G28" s="30" t="s">
        <v>385</v>
      </c>
      <c r="H28" s="6"/>
      <c r="I28" s="31" t="s">
        <v>386</v>
      </c>
      <c r="J28" s="6"/>
      <c r="K28" s="6"/>
      <c r="L28" s="6"/>
      <c r="M28" s="6"/>
    </row>
    <row r="29" spans="1:13" ht="37.5" x14ac:dyDescent="0.3">
      <c r="A29" s="6" t="s">
        <v>82</v>
      </c>
      <c r="B29" s="7" t="s">
        <v>83</v>
      </c>
      <c r="C29" s="7" t="s">
        <v>84</v>
      </c>
      <c r="D29" s="7" t="s">
        <v>85</v>
      </c>
      <c r="E29" s="7" t="s">
        <v>86</v>
      </c>
      <c r="F29" s="7" t="s">
        <v>86</v>
      </c>
      <c r="G29" s="30" t="s">
        <v>385</v>
      </c>
      <c r="H29" s="6"/>
      <c r="I29" s="31" t="s">
        <v>386</v>
      </c>
      <c r="J29" s="6"/>
      <c r="K29" s="6"/>
      <c r="L29" s="6"/>
      <c r="M29" s="6"/>
    </row>
    <row r="30" spans="1:13" ht="37.5" x14ac:dyDescent="0.3">
      <c r="A30" s="6" t="s">
        <v>87</v>
      </c>
      <c r="B30" s="7" t="s">
        <v>88</v>
      </c>
      <c r="C30" s="7" t="s">
        <v>89</v>
      </c>
      <c r="D30" s="7" t="s">
        <v>90</v>
      </c>
      <c r="E30" s="7" t="s">
        <v>91</v>
      </c>
      <c r="F30" s="7" t="s">
        <v>91</v>
      </c>
      <c r="G30" s="30" t="s">
        <v>385</v>
      </c>
      <c r="H30" s="6"/>
      <c r="I30" s="31" t="s">
        <v>386</v>
      </c>
      <c r="J30" s="6"/>
      <c r="K30" s="6"/>
      <c r="L30" s="6"/>
      <c r="M30" s="6"/>
    </row>
    <row r="31" spans="1:13" ht="37.5" x14ac:dyDescent="0.3">
      <c r="A31" s="6" t="s">
        <v>92</v>
      </c>
      <c r="B31" s="7" t="s">
        <v>93</v>
      </c>
      <c r="C31" s="7" t="s">
        <v>94</v>
      </c>
      <c r="D31" s="7" t="s">
        <v>95</v>
      </c>
      <c r="E31" s="7" t="s">
        <v>96</v>
      </c>
      <c r="F31" s="7" t="s">
        <v>96</v>
      </c>
      <c r="G31" s="30" t="s">
        <v>385</v>
      </c>
      <c r="H31" s="6"/>
      <c r="I31" s="31" t="s">
        <v>386</v>
      </c>
      <c r="J31" s="6"/>
      <c r="K31" s="6"/>
      <c r="L31" s="6"/>
      <c r="M31" s="6"/>
    </row>
  </sheetData>
  <mergeCells count="15">
    <mergeCell ref="A21:M21"/>
    <mergeCell ref="M12:M14"/>
    <mergeCell ref="G13:I13"/>
    <mergeCell ref="J13:L13"/>
    <mergeCell ref="A15:M15"/>
    <mergeCell ref="B1:F1"/>
    <mergeCell ref="B2:F2"/>
    <mergeCell ref="G12:I12"/>
    <mergeCell ref="J12:L12"/>
    <mergeCell ref="A12:A14"/>
    <mergeCell ref="B12:B14"/>
    <mergeCell ref="C12:C14"/>
    <mergeCell ref="D12:D14"/>
    <mergeCell ref="E12:E14"/>
    <mergeCell ref="F12:F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1"/>
  <sheetViews>
    <sheetView topLeftCell="A5" zoomScale="40" zoomScaleNormal="40" workbookViewId="0">
      <selection activeCell="F20" sqref="F20"/>
    </sheetView>
  </sheetViews>
  <sheetFormatPr defaultRowHeight="18.75" x14ac:dyDescent="0.3"/>
  <cols>
    <col min="1" max="1" width="39.140625" style="13" bestFit="1" customWidth="1"/>
    <col min="2" max="2" width="71" style="12" bestFit="1" customWidth="1"/>
    <col min="3" max="3" width="44" style="12" bestFit="1" customWidth="1"/>
    <col min="4" max="4" width="35.42578125" style="12" bestFit="1" customWidth="1"/>
    <col min="5" max="6" width="72.28515625" style="12" bestFit="1" customWidth="1"/>
    <col min="7" max="7" width="16" style="13" customWidth="1"/>
    <col min="8" max="8" width="20.85546875" style="13" bestFit="1" customWidth="1"/>
    <col min="9" max="9" width="21.42578125" style="13" bestFit="1" customWidth="1"/>
    <col min="10" max="10" width="16" style="13" bestFit="1" customWidth="1"/>
    <col min="11" max="11" width="20.85546875" style="13" bestFit="1" customWidth="1"/>
    <col min="12" max="12" width="21.42578125" style="13" bestFit="1" customWidth="1"/>
    <col min="13" max="13" width="16" style="13" bestFit="1" customWidth="1"/>
    <col min="14" max="16384" width="9.140625" style="13"/>
  </cols>
  <sheetData>
    <row r="1" spans="1:13" x14ac:dyDescent="0.3">
      <c r="A1" s="18" t="s">
        <v>0</v>
      </c>
      <c r="B1" s="19" t="s">
        <v>1</v>
      </c>
      <c r="C1" s="19"/>
      <c r="D1" s="19"/>
      <c r="E1" s="19"/>
      <c r="F1" s="19"/>
    </row>
    <row r="2" spans="1:13" x14ac:dyDescent="0.3">
      <c r="A2" s="18" t="s">
        <v>2</v>
      </c>
      <c r="B2" s="20" t="s">
        <v>97</v>
      </c>
      <c r="C2" s="20"/>
      <c r="D2" s="20"/>
      <c r="E2" s="20"/>
      <c r="F2" s="20"/>
    </row>
    <row r="3" spans="1:13" x14ac:dyDescent="0.3">
      <c r="A3" s="26"/>
      <c r="B3" s="18" t="s">
        <v>4</v>
      </c>
      <c r="C3" s="18" t="s">
        <v>5</v>
      </c>
      <c r="D3" s="18" t="s">
        <v>6</v>
      </c>
      <c r="E3" s="18" t="s">
        <v>382</v>
      </c>
      <c r="F3" s="18" t="s">
        <v>383</v>
      </c>
    </row>
    <row r="4" spans="1:13" x14ac:dyDescent="0.3">
      <c r="A4" s="26" t="s">
        <v>7</v>
      </c>
      <c r="B4" s="27">
        <f>COUNTIF(G16:G80,"Passed")</f>
        <v>0</v>
      </c>
      <c r="C4" s="27">
        <f>COUNTIF(G16:G80,"Failed")</f>
        <v>0</v>
      </c>
      <c r="D4" s="27">
        <f>COUNTIF(G16:G80,"Untested")</f>
        <v>0</v>
      </c>
      <c r="E4" s="27">
        <f>COUNTIF(G16:G80,"Blocked")</f>
        <v>0</v>
      </c>
      <c r="F4" s="27">
        <f>COUNTA(A16:A80)</f>
        <v>16</v>
      </c>
    </row>
    <row r="5" spans="1:13" x14ac:dyDescent="0.3">
      <c r="A5" s="26" t="s">
        <v>8</v>
      </c>
      <c r="B5" s="27">
        <f>COUNTIF(J16:J80,"Passed")</f>
        <v>0</v>
      </c>
      <c r="C5" s="27">
        <f>COUNTIF(J16:J80,"Failed")</f>
        <v>0</v>
      </c>
      <c r="D5" s="27">
        <f>COUNTIF(J16:J80,"Untested")</f>
        <v>0</v>
      </c>
      <c r="E5" s="27">
        <f>COUNTIF(J16:J80,"Blocked")</f>
        <v>0</v>
      </c>
      <c r="F5" s="27">
        <f>COUNTA(A16:A80)</f>
        <v>16</v>
      </c>
    </row>
    <row r="12" spans="1:13" x14ac:dyDescent="0.3">
      <c r="A12" s="22" t="s">
        <v>9</v>
      </c>
      <c r="B12" s="22" t="s">
        <v>10</v>
      </c>
      <c r="C12" s="22" t="s">
        <v>384</v>
      </c>
      <c r="D12" s="22" t="s">
        <v>11</v>
      </c>
      <c r="E12" s="23" t="s">
        <v>12</v>
      </c>
      <c r="F12" s="22" t="s">
        <v>13</v>
      </c>
      <c r="G12" s="22" t="s">
        <v>14</v>
      </c>
      <c r="H12" s="22"/>
      <c r="I12" s="22"/>
      <c r="J12" s="22" t="s">
        <v>14</v>
      </c>
      <c r="K12" s="22"/>
      <c r="L12" s="22"/>
      <c r="M12" s="22" t="s">
        <v>15</v>
      </c>
    </row>
    <row r="13" spans="1:13" x14ac:dyDescent="0.3">
      <c r="A13" s="22"/>
      <c r="B13" s="22"/>
      <c r="C13" s="22"/>
      <c r="D13" s="22"/>
      <c r="E13" s="23"/>
      <c r="F13" s="22"/>
      <c r="G13" s="22" t="s">
        <v>16</v>
      </c>
      <c r="H13" s="22"/>
      <c r="I13" s="22"/>
      <c r="J13" s="22" t="s">
        <v>17</v>
      </c>
      <c r="K13" s="22"/>
      <c r="L13" s="22"/>
      <c r="M13" s="22"/>
    </row>
    <row r="14" spans="1:13" x14ac:dyDescent="0.3">
      <c r="A14" s="22"/>
      <c r="B14" s="22"/>
      <c r="C14" s="22"/>
      <c r="D14" s="22"/>
      <c r="E14" s="23"/>
      <c r="F14" s="22"/>
      <c r="G14" s="24" t="s">
        <v>18</v>
      </c>
      <c r="H14" s="25" t="s">
        <v>19</v>
      </c>
      <c r="I14" s="24" t="s">
        <v>20</v>
      </c>
      <c r="J14" s="24" t="s">
        <v>18</v>
      </c>
      <c r="K14" s="25" t="s">
        <v>19</v>
      </c>
      <c r="L14" s="24" t="s">
        <v>20</v>
      </c>
      <c r="M14" s="22"/>
    </row>
    <row r="15" spans="1:13" x14ac:dyDescent="0.3">
      <c r="A15" s="5" t="s">
        <v>98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</row>
    <row r="16" spans="1:13" ht="37.5" x14ac:dyDescent="0.3">
      <c r="A16" s="6" t="s">
        <v>99</v>
      </c>
      <c r="B16" s="7" t="s">
        <v>100</v>
      </c>
      <c r="C16" s="7" t="s">
        <v>101</v>
      </c>
      <c r="D16" s="7" t="s">
        <v>102</v>
      </c>
      <c r="E16" s="7" t="s">
        <v>103</v>
      </c>
      <c r="F16" s="7" t="s">
        <v>103</v>
      </c>
      <c r="G16" s="32" t="s">
        <v>385</v>
      </c>
      <c r="H16" s="6"/>
      <c r="I16" s="31" t="s">
        <v>387</v>
      </c>
      <c r="J16" s="6"/>
      <c r="K16" s="6"/>
      <c r="L16" s="6"/>
      <c r="M16" s="6"/>
    </row>
    <row r="17" spans="1:13" ht="56.25" x14ac:dyDescent="0.3">
      <c r="A17" s="6" t="s">
        <v>104</v>
      </c>
      <c r="B17" s="7" t="s">
        <v>105</v>
      </c>
      <c r="C17" s="7" t="s">
        <v>106</v>
      </c>
      <c r="D17" s="7" t="s">
        <v>107</v>
      </c>
      <c r="E17" s="7" t="s">
        <v>108</v>
      </c>
      <c r="F17" s="7" t="s">
        <v>108</v>
      </c>
      <c r="G17" s="32" t="s">
        <v>385</v>
      </c>
      <c r="H17" s="6"/>
      <c r="I17" s="31" t="s">
        <v>387</v>
      </c>
      <c r="J17" s="6"/>
      <c r="K17" s="6"/>
      <c r="L17" s="6"/>
      <c r="M17" s="6"/>
    </row>
    <row r="18" spans="1:13" ht="37.5" x14ac:dyDescent="0.3">
      <c r="A18" s="6" t="s">
        <v>109</v>
      </c>
      <c r="B18" s="7" t="s">
        <v>110</v>
      </c>
      <c r="C18" s="7" t="s">
        <v>111</v>
      </c>
      <c r="D18" s="7" t="s">
        <v>102</v>
      </c>
      <c r="E18" s="7" t="s">
        <v>112</v>
      </c>
      <c r="F18" s="7" t="s">
        <v>112</v>
      </c>
      <c r="G18" s="32" t="s">
        <v>385</v>
      </c>
      <c r="H18" s="6"/>
      <c r="I18" s="31" t="s">
        <v>387</v>
      </c>
      <c r="J18" s="6"/>
      <c r="K18" s="6"/>
      <c r="L18" s="6"/>
      <c r="M18" s="6"/>
    </row>
    <row r="19" spans="1:13" ht="37.5" x14ac:dyDescent="0.3">
      <c r="A19" s="6" t="s">
        <v>113</v>
      </c>
      <c r="B19" s="7" t="s">
        <v>114</v>
      </c>
      <c r="C19" s="7" t="s">
        <v>115</v>
      </c>
      <c r="D19" s="7" t="s">
        <v>116</v>
      </c>
      <c r="E19" s="7" t="s">
        <v>117</v>
      </c>
      <c r="F19" s="7" t="s">
        <v>117</v>
      </c>
      <c r="G19" s="32" t="s">
        <v>385</v>
      </c>
      <c r="H19" s="6"/>
      <c r="I19" s="31" t="s">
        <v>387</v>
      </c>
      <c r="J19" s="6"/>
      <c r="K19" s="6"/>
      <c r="L19" s="6"/>
      <c r="M19" s="6"/>
    </row>
    <row r="20" spans="1:13" ht="37.5" x14ac:dyDescent="0.3">
      <c r="A20" s="6" t="s">
        <v>118</v>
      </c>
      <c r="B20" s="7" t="s">
        <v>119</v>
      </c>
      <c r="C20" s="7" t="s">
        <v>120</v>
      </c>
      <c r="D20" s="7" t="s">
        <v>116</v>
      </c>
      <c r="E20" s="7" t="s">
        <v>121</v>
      </c>
      <c r="F20" s="7" t="s">
        <v>121</v>
      </c>
      <c r="G20" s="32" t="s">
        <v>385</v>
      </c>
      <c r="H20" s="6"/>
      <c r="I20" s="31" t="s">
        <v>387</v>
      </c>
      <c r="J20" s="6"/>
      <c r="K20" s="6"/>
      <c r="L20" s="6"/>
      <c r="M20" s="6"/>
    </row>
    <row r="21" spans="1:13" x14ac:dyDescent="0.3">
      <c r="A21" s="5" t="s">
        <v>122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</row>
    <row r="22" spans="1:13" ht="56.25" x14ac:dyDescent="0.3">
      <c r="A22" s="6" t="s">
        <v>123</v>
      </c>
      <c r="B22" s="7" t="s">
        <v>124</v>
      </c>
      <c r="C22" s="7" t="s">
        <v>125</v>
      </c>
      <c r="D22" s="7" t="s">
        <v>126</v>
      </c>
      <c r="E22" s="7" t="s">
        <v>127</v>
      </c>
      <c r="F22" s="7" t="s">
        <v>127</v>
      </c>
      <c r="G22" s="32" t="s">
        <v>385</v>
      </c>
      <c r="H22" s="6"/>
      <c r="I22" s="31" t="s">
        <v>387</v>
      </c>
      <c r="J22" s="6"/>
      <c r="K22" s="6"/>
      <c r="L22" s="6"/>
      <c r="M22" s="6"/>
    </row>
    <row r="23" spans="1:13" ht="37.5" x14ac:dyDescent="0.3">
      <c r="A23" s="6" t="s">
        <v>128</v>
      </c>
      <c r="B23" s="7" t="s">
        <v>129</v>
      </c>
      <c r="C23" s="7" t="s">
        <v>130</v>
      </c>
      <c r="D23" s="7" t="s">
        <v>116</v>
      </c>
      <c r="E23" s="7" t="s">
        <v>131</v>
      </c>
      <c r="F23" s="7" t="s">
        <v>131</v>
      </c>
      <c r="G23" s="32" t="s">
        <v>385</v>
      </c>
      <c r="H23" s="6"/>
      <c r="I23" s="31" t="s">
        <v>387</v>
      </c>
      <c r="J23" s="6"/>
      <c r="K23" s="6"/>
      <c r="L23" s="6"/>
      <c r="M23" s="6"/>
    </row>
    <row r="24" spans="1:13" ht="37.5" x14ac:dyDescent="0.3">
      <c r="A24" s="6" t="s">
        <v>132</v>
      </c>
      <c r="B24" s="7" t="s">
        <v>133</v>
      </c>
      <c r="C24" s="7" t="s">
        <v>134</v>
      </c>
      <c r="D24" s="7" t="s">
        <v>135</v>
      </c>
      <c r="E24" s="7" t="s">
        <v>136</v>
      </c>
      <c r="F24" s="7" t="s">
        <v>136</v>
      </c>
      <c r="G24" s="32" t="s">
        <v>385</v>
      </c>
      <c r="H24" s="6"/>
      <c r="I24" s="31" t="s">
        <v>387</v>
      </c>
      <c r="J24" s="6"/>
      <c r="K24" s="6"/>
      <c r="L24" s="6"/>
      <c r="M24" s="6"/>
    </row>
    <row r="25" spans="1:13" ht="37.5" x14ac:dyDescent="0.3">
      <c r="A25" s="6" t="s">
        <v>137</v>
      </c>
      <c r="B25" s="7" t="s">
        <v>138</v>
      </c>
      <c r="C25" s="7" t="s">
        <v>139</v>
      </c>
      <c r="D25" s="7" t="s">
        <v>140</v>
      </c>
      <c r="E25" s="7" t="s">
        <v>141</v>
      </c>
      <c r="F25" s="7" t="s">
        <v>141</v>
      </c>
      <c r="G25" s="32" t="s">
        <v>385</v>
      </c>
      <c r="H25" s="6"/>
      <c r="I25" s="31" t="s">
        <v>387</v>
      </c>
      <c r="J25" s="6"/>
      <c r="K25" s="6"/>
      <c r="L25" s="6"/>
      <c r="M25" s="6"/>
    </row>
    <row r="26" spans="1:13" x14ac:dyDescent="0.3">
      <c r="A26" s="6" t="s">
        <v>142</v>
      </c>
      <c r="B26" s="7" t="s">
        <v>143</v>
      </c>
      <c r="C26" s="7" t="s">
        <v>144</v>
      </c>
      <c r="D26" s="7" t="s">
        <v>145</v>
      </c>
      <c r="E26" s="7" t="s">
        <v>146</v>
      </c>
      <c r="F26" s="7" t="s">
        <v>146</v>
      </c>
      <c r="G26" s="32" t="s">
        <v>385</v>
      </c>
      <c r="H26" s="6"/>
      <c r="I26" s="31" t="s">
        <v>387</v>
      </c>
      <c r="J26" s="6"/>
      <c r="K26" s="6"/>
      <c r="L26" s="6"/>
      <c r="M26" s="6"/>
    </row>
    <row r="27" spans="1:13" ht="37.5" x14ac:dyDescent="0.3">
      <c r="A27" s="6" t="s">
        <v>147</v>
      </c>
      <c r="B27" s="7" t="s">
        <v>148</v>
      </c>
      <c r="C27" s="7" t="s">
        <v>149</v>
      </c>
      <c r="D27" s="7" t="s">
        <v>150</v>
      </c>
      <c r="E27" s="7" t="s">
        <v>151</v>
      </c>
      <c r="F27" s="7" t="s">
        <v>151</v>
      </c>
      <c r="G27" s="32" t="s">
        <v>385</v>
      </c>
      <c r="H27" s="6"/>
      <c r="I27" s="31" t="s">
        <v>387</v>
      </c>
      <c r="J27" s="6"/>
      <c r="K27" s="6"/>
      <c r="L27" s="6"/>
      <c r="M27" s="6"/>
    </row>
    <row r="28" spans="1:13" ht="37.5" x14ac:dyDescent="0.3">
      <c r="A28" s="6" t="s">
        <v>152</v>
      </c>
      <c r="B28" s="7" t="s">
        <v>153</v>
      </c>
      <c r="C28" s="7" t="s">
        <v>154</v>
      </c>
      <c r="D28" s="7" t="s">
        <v>155</v>
      </c>
      <c r="E28" s="7" t="s">
        <v>156</v>
      </c>
      <c r="F28" s="7" t="s">
        <v>156</v>
      </c>
      <c r="G28" s="32" t="s">
        <v>385</v>
      </c>
      <c r="H28" s="6"/>
      <c r="I28" s="31" t="s">
        <v>387</v>
      </c>
      <c r="J28" s="6"/>
      <c r="K28" s="6"/>
      <c r="L28" s="6"/>
      <c r="M28" s="6"/>
    </row>
    <row r="29" spans="1:13" x14ac:dyDescent="0.3">
      <c r="A29" s="6" t="s">
        <v>157</v>
      </c>
      <c r="B29" s="7" t="s">
        <v>158</v>
      </c>
      <c r="C29" s="7" t="s">
        <v>159</v>
      </c>
      <c r="D29" s="7" t="s">
        <v>160</v>
      </c>
      <c r="E29" s="7" t="s">
        <v>161</v>
      </c>
      <c r="F29" s="7" t="s">
        <v>161</v>
      </c>
      <c r="G29" s="32" t="s">
        <v>385</v>
      </c>
      <c r="H29" s="6"/>
      <c r="I29" s="31" t="s">
        <v>387</v>
      </c>
      <c r="J29" s="6"/>
      <c r="K29" s="6"/>
      <c r="L29" s="6"/>
      <c r="M29" s="6"/>
    </row>
    <row r="30" spans="1:13" ht="37.5" x14ac:dyDescent="0.3">
      <c r="A30" s="6" t="s">
        <v>162</v>
      </c>
      <c r="B30" s="7" t="s">
        <v>163</v>
      </c>
      <c r="C30" s="7" t="s">
        <v>164</v>
      </c>
      <c r="D30" s="7" t="s">
        <v>135</v>
      </c>
      <c r="E30" s="7" t="s">
        <v>165</v>
      </c>
      <c r="F30" s="7" t="s">
        <v>165</v>
      </c>
      <c r="G30" s="32" t="s">
        <v>385</v>
      </c>
      <c r="H30" s="6"/>
      <c r="I30" s="31" t="s">
        <v>387</v>
      </c>
      <c r="J30" s="6"/>
      <c r="K30" s="6"/>
      <c r="L30" s="6"/>
      <c r="M30" s="6"/>
    </row>
    <row r="31" spans="1:13" ht="37.5" x14ac:dyDescent="0.3">
      <c r="A31" s="6" t="s">
        <v>166</v>
      </c>
      <c r="B31" s="7" t="s">
        <v>167</v>
      </c>
      <c r="C31" s="7" t="s">
        <v>168</v>
      </c>
      <c r="D31" s="7" t="s">
        <v>169</v>
      </c>
      <c r="E31" s="7" t="s">
        <v>170</v>
      </c>
      <c r="F31" s="7" t="s">
        <v>170</v>
      </c>
      <c r="G31" s="32" t="s">
        <v>385</v>
      </c>
      <c r="H31" s="6"/>
      <c r="I31" s="31" t="s">
        <v>387</v>
      </c>
      <c r="J31" s="6"/>
      <c r="K31" s="6"/>
      <c r="L31" s="6"/>
      <c r="M31" s="6"/>
    </row>
  </sheetData>
  <mergeCells count="15">
    <mergeCell ref="A21:M21"/>
    <mergeCell ref="G12:I12"/>
    <mergeCell ref="J12:L12"/>
    <mergeCell ref="M12:M14"/>
    <mergeCell ref="G13:I13"/>
    <mergeCell ref="J13:L13"/>
    <mergeCell ref="A15:M15"/>
    <mergeCell ref="B1:F1"/>
    <mergeCell ref="B2:F2"/>
    <mergeCell ref="A12:A14"/>
    <mergeCell ref="B12:B14"/>
    <mergeCell ref="C12:C14"/>
    <mergeCell ref="D12:D14"/>
    <mergeCell ref="E12:E14"/>
    <mergeCell ref="F12:F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1"/>
  <sheetViews>
    <sheetView topLeftCell="A4" zoomScale="40" zoomScaleNormal="40" workbookViewId="0">
      <selection activeCell="E26" sqref="E26"/>
    </sheetView>
  </sheetViews>
  <sheetFormatPr defaultRowHeight="18.75" x14ac:dyDescent="0.3"/>
  <cols>
    <col min="1" max="1" width="42.140625" style="13" bestFit="1" customWidth="1"/>
    <col min="2" max="2" width="71" style="12" bestFit="1" customWidth="1"/>
    <col min="3" max="3" width="44" style="12" bestFit="1" customWidth="1"/>
    <col min="4" max="4" width="34.7109375" style="12" bestFit="1" customWidth="1"/>
    <col min="5" max="6" width="88.7109375" style="12" bestFit="1" customWidth="1"/>
    <col min="7" max="7" width="17.7109375" style="13" bestFit="1" customWidth="1"/>
    <col min="8" max="8" width="23.7109375" style="13" bestFit="1" customWidth="1"/>
    <col min="9" max="9" width="24.42578125" style="13" bestFit="1" customWidth="1"/>
    <col min="10" max="16384" width="9.140625" style="13"/>
  </cols>
  <sheetData>
    <row r="1" spans="1:13" x14ac:dyDescent="0.3">
      <c r="A1" s="8" t="s">
        <v>0</v>
      </c>
      <c r="B1" s="19" t="s">
        <v>1</v>
      </c>
      <c r="C1" s="19"/>
      <c r="D1" s="19"/>
      <c r="E1" s="19"/>
      <c r="F1" s="19"/>
    </row>
    <row r="2" spans="1:13" x14ac:dyDescent="0.3">
      <c r="A2" s="8" t="s">
        <v>2</v>
      </c>
      <c r="B2" s="20" t="s">
        <v>171</v>
      </c>
      <c r="C2" s="20"/>
      <c r="D2" s="20"/>
      <c r="E2" s="20"/>
      <c r="F2" s="20"/>
    </row>
    <row r="3" spans="1:13" x14ac:dyDescent="0.3">
      <c r="A3" s="6"/>
      <c r="B3" s="21" t="s">
        <v>4</v>
      </c>
      <c r="C3" s="21" t="s">
        <v>5</v>
      </c>
      <c r="D3" s="21" t="s">
        <v>6</v>
      </c>
      <c r="E3" s="21" t="s">
        <v>382</v>
      </c>
      <c r="F3" s="21" t="s">
        <v>383</v>
      </c>
    </row>
    <row r="4" spans="1:13" x14ac:dyDescent="0.3">
      <c r="A4" s="6" t="s">
        <v>7</v>
      </c>
      <c r="B4" s="7">
        <f>COUNTIF(G16:G80,"Passed")</f>
        <v>0</v>
      </c>
      <c r="C4" s="7">
        <f>COUNTIF(G16:G80,"Failed")</f>
        <v>0</v>
      </c>
      <c r="D4" s="7">
        <f>COUNTIF(G16:G80,"Untested")</f>
        <v>0</v>
      </c>
      <c r="E4" s="7">
        <f>COUNTIF(G16:G80,"Blocked")</f>
        <v>0</v>
      </c>
      <c r="F4" s="7">
        <f>COUNTA(A16:A80)</f>
        <v>16</v>
      </c>
    </row>
    <row r="5" spans="1:13" x14ac:dyDescent="0.3">
      <c r="A5" s="6" t="s">
        <v>8</v>
      </c>
      <c r="B5" s="7">
        <f>COUNTIF(J16:J80,"Passed")</f>
        <v>0</v>
      </c>
      <c r="C5" s="7">
        <f>COUNTIF(J16:J80,"Failed")</f>
        <v>0</v>
      </c>
      <c r="D5" s="7">
        <f>COUNTIF(J16:J80,"Untested")</f>
        <v>0</v>
      </c>
      <c r="E5" s="7">
        <f>COUNTIF(J16:J80,"Blocked")</f>
        <v>0</v>
      </c>
      <c r="F5" s="7">
        <f>COUNTA(A16:A80)</f>
        <v>16</v>
      </c>
    </row>
    <row r="12" spans="1:13" x14ac:dyDescent="0.3">
      <c r="A12" s="22" t="s">
        <v>9</v>
      </c>
      <c r="B12" s="22" t="s">
        <v>10</v>
      </c>
      <c r="C12" s="22" t="s">
        <v>384</v>
      </c>
      <c r="D12" s="22" t="s">
        <v>11</v>
      </c>
      <c r="E12" s="23" t="s">
        <v>12</v>
      </c>
      <c r="F12" s="22" t="s">
        <v>13</v>
      </c>
      <c r="G12" s="22" t="s">
        <v>14</v>
      </c>
      <c r="H12" s="22"/>
      <c r="I12" s="22"/>
      <c r="J12" s="22" t="s">
        <v>14</v>
      </c>
      <c r="K12" s="22"/>
      <c r="L12" s="22"/>
      <c r="M12" s="22" t="s">
        <v>15</v>
      </c>
    </row>
    <row r="13" spans="1:13" x14ac:dyDescent="0.3">
      <c r="A13" s="22"/>
      <c r="B13" s="22"/>
      <c r="C13" s="22"/>
      <c r="D13" s="22"/>
      <c r="E13" s="23"/>
      <c r="F13" s="22"/>
      <c r="G13" s="22" t="s">
        <v>16</v>
      </c>
      <c r="H13" s="22"/>
      <c r="I13" s="22"/>
      <c r="J13" s="22" t="s">
        <v>17</v>
      </c>
      <c r="K13" s="22"/>
      <c r="L13" s="22"/>
      <c r="M13" s="22"/>
    </row>
    <row r="14" spans="1:13" x14ac:dyDescent="0.3">
      <c r="A14" s="22"/>
      <c r="B14" s="22"/>
      <c r="C14" s="22"/>
      <c r="D14" s="22"/>
      <c r="E14" s="23"/>
      <c r="F14" s="22"/>
      <c r="G14" s="24" t="s">
        <v>18</v>
      </c>
      <c r="H14" s="25" t="s">
        <v>19</v>
      </c>
      <c r="I14" s="24" t="s">
        <v>20</v>
      </c>
      <c r="J14" s="24" t="s">
        <v>18</v>
      </c>
      <c r="K14" s="25" t="s">
        <v>19</v>
      </c>
      <c r="L14" s="24" t="s">
        <v>20</v>
      </c>
      <c r="M14" s="22"/>
    </row>
    <row r="15" spans="1:13" x14ac:dyDescent="0.3">
      <c r="A15" s="5" t="s">
        <v>172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</row>
    <row r="16" spans="1:13" ht="37.5" x14ac:dyDescent="0.3">
      <c r="A16" s="6" t="s">
        <v>173</v>
      </c>
      <c r="B16" s="7" t="s">
        <v>174</v>
      </c>
      <c r="C16" s="7" t="s">
        <v>175</v>
      </c>
      <c r="D16" s="7" t="s">
        <v>102</v>
      </c>
      <c r="E16" s="7" t="s">
        <v>176</v>
      </c>
      <c r="F16" s="7" t="s">
        <v>176</v>
      </c>
      <c r="G16" s="32" t="s">
        <v>385</v>
      </c>
      <c r="H16" s="6"/>
      <c r="I16" s="31" t="s">
        <v>388</v>
      </c>
      <c r="J16" s="6"/>
      <c r="K16" s="6"/>
      <c r="L16" s="6"/>
      <c r="M16" s="6"/>
    </row>
    <row r="17" spans="1:13" ht="37.5" x14ac:dyDescent="0.3">
      <c r="A17" s="6" t="s">
        <v>177</v>
      </c>
      <c r="B17" s="7" t="s">
        <v>178</v>
      </c>
      <c r="C17" s="7" t="s">
        <v>179</v>
      </c>
      <c r="D17" s="7" t="s">
        <v>180</v>
      </c>
      <c r="E17" s="7" t="s">
        <v>181</v>
      </c>
      <c r="F17" s="7" t="s">
        <v>181</v>
      </c>
      <c r="G17" s="32" t="s">
        <v>385</v>
      </c>
      <c r="H17" s="6"/>
      <c r="I17" s="31" t="s">
        <v>388</v>
      </c>
      <c r="J17" s="6"/>
      <c r="K17" s="6"/>
      <c r="L17" s="6"/>
      <c r="M17" s="6"/>
    </row>
    <row r="18" spans="1:13" ht="37.5" x14ac:dyDescent="0.3">
      <c r="A18" s="6" t="s">
        <v>182</v>
      </c>
      <c r="B18" s="7" t="s">
        <v>183</v>
      </c>
      <c r="C18" s="7" t="s">
        <v>184</v>
      </c>
      <c r="D18" s="7" t="s">
        <v>180</v>
      </c>
      <c r="E18" s="7" t="s">
        <v>185</v>
      </c>
      <c r="F18" s="7" t="s">
        <v>185</v>
      </c>
      <c r="G18" s="32" t="s">
        <v>385</v>
      </c>
      <c r="H18" s="6"/>
      <c r="I18" s="31" t="s">
        <v>388</v>
      </c>
      <c r="J18" s="6"/>
      <c r="K18" s="6"/>
      <c r="L18" s="6"/>
      <c r="M18" s="6"/>
    </row>
    <row r="19" spans="1:13" ht="37.5" x14ac:dyDescent="0.3">
      <c r="A19" s="6" t="s">
        <v>186</v>
      </c>
      <c r="B19" s="7" t="s">
        <v>187</v>
      </c>
      <c r="C19" s="7" t="s">
        <v>188</v>
      </c>
      <c r="D19" s="7" t="s">
        <v>180</v>
      </c>
      <c r="E19" s="7" t="s">
        <v>189</v>
      </c>
      <c r="F19" s="7" t="s">
        <v>189</v>
      </c>
      <c r="G19" s="32" t="s">
        <v>385</v>
      </c>
      <c r="H19" s="6"/>
      <c r="I19" s="31" t="s">
        <v>388</v>
      </c>
      <c r="J19" s="6"/>
      <c r="K19" s="6"/>
      <c r="L19" s="6"/>
      <c r="M19" s="6"/>
    </row>
    <row r="20" spans="1:13" ht="37.5" x14ac:dyDescent="0.3">
      <c r="A20" s="6" t="s">
        <v>190</v>
      </c>
      <c r="B20" s="7" t="s">
        <v>191</v>
      </c>
      <c r="C20" s="7" t="s">
        <v>192</v>
      </c>
      <c r="D20" s="7" t="s">
        <v>193</v>
      </c>
      <c r="E20" s="7" t="s">
        <v>194</v>
      </c>
      <c r="F20" s="7" t="s">
        <v>194</v>
      </c>
      <c r="G20" s="32" t="s">
        <v>385</v>
      </c>
      <c r="H20" s="6"/>
      <c r="I20" s="31" t="s">
        <v>388</v>
      </c>
      <c r="J20" s="6"/>
      <c r="K20" s="6"/>
      <c r="L20" s="6"/>
      <c r="M20" s="6"/>
    </row>
    <row r="21" spans="1:13" x14ac:dyDescent="0.3">
      <c r="A21" s="5" t="s">
        <v>195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</row>
    <row r="22" spans="1:13" ht="37.5" x14ac:dyDescent="0.3">
      <c r="A22" s="6" t="s">
        <v>196</v>
      </c>
      <c r="B22" s="7" t="s">
        <v>197</v>
      </c>
      <c r="C22" s="7" t="s">
        <v>198</v>
      </c>
      <c r="D22" s="7" t="s">
        <v>199</v>
      </c>
      <c r="E22" s="7" t="s">
        <v>200</v>
      </c>
      <c r="F22" s="7" t="s">
        <v>200</v>
      </c>
      <c r="G22" s="32" t="s">
        <v>385</v>
      </c>
      <c r="H22" s="6"/>
      <c r="I22" s="31" t="s">
        <v>388</v>
      </c>
      <c r="J22" s="6"/>
      <c r="K22" s="6"/>
      <c r="L22" s="6"/>
      <c r="M22" s="6"/>
    </row>
    <row r="23" spans="1:13" ht="37.5" x14ac:dyDescent="0.3">
      <c r="A23" s="6" t="s">
        <v>201</v>
      </c>
      <c r="B23" s="7" t="s">
        <v>202</v>
      </c>
      <c r="C23" s="7" t="s">
        <v>203</v>
      </c>
      <c r="D23" s="7" t="s">
        <v>204</v>
      </c>
      <c r="E23" s="7" t="s">
        <v>205</v>
      </c>
      <c r="F23" s="7" t="s">
        <v>205</v>
      </c>
      <c r="G23" s="32" t="s">
        <v>385</v>
      </c>
      <c r="H23" s="6"/>
      <c r="I23" s="31" t="s">
        <v>388</v>
      </c>
      <c r="J23" s="6"/>
      <c r="K23" s="6"/>
      <c r="L23" s="6"/>
      <c r="M23" s="6"/>
    </row>
    <row r="24" spans="1:13" ht="37.5" x14ac:dyDescent="0.3">
      <c r="A24" s="6" t="s">
        <v>206</v>
      </c>
      <c r="B24" s="7" t="s">
        <v>207</v>
      </c>
      <c r="C24" s="7" t="s">
        <v>208</v>
      </c>
      <c r="D24" s="7" t="s">
        <v>209</v>
      </c>
      <c r="E24" s="7" t="s">
        <v>210</v>
      </c>
      <c r="F24" s="7" t="s">
        <v>210</v>
      </c>
      <c r="G24" s="32" t="s">
        <v>385</v>
      </c>
      <c r="H24" s="6"/>
      <c r="I24" s="31" t="s">
        <v>388</v>
      </c>
      <c r="J24" s="6"/>
      <c r="K24" s="6"/>
      <c r="L24" s="6"/>
      <c r="M24" s="6"/>
    </row>
    <row r="25" spans="1:13" ht="56.25" x14ac:dyDescent="0.3">
      <c r="A25" s="6" t="s">
        <v>211</v>
      </c>
      <c r="B25" s="7" t="s">
        <v>212</v>
      </c>
      <c r="C25" s="7" t="s">
        <v>213</v>
      </c>
      <c r="D25" s="7" t="s">
        <v>180</v>
      </c>
      <c r="E25" s="7" t="s">
        <v>214</v>
      </c>
      <c r="F25" s="7" t="s">
        <v>214</v>
      </c>
      <c r="G25" s="32" t="s">
        <v>385</v>
      </c>
      <c r="H25" s="6"/>
      <c r="I25" s="31" t="s">
        <v>388</v>
      </c>
      <c r="J25" s="6"/>
      <c r="K25" s="6"/>
      <c r="L25" s="6"/>
      <c r="M25" s="6"/>
    </row>
    <row r="26" spans="1:13" ht="37.5" x14ac:dyDescent="0.3">
      <c r="A26" s="6" t="s">
        <v>215</v>
      </c>
      <c r="B26" s="7" t="s">
        <v>216</v>
      </c>
      <c r="C26" s="7" t="s">
        <v>217</v>
      </c>
      <c r="D26" s="7" t="s">
        <v>209</v>
      </c>
      <c r="E26" s="7" t="s">
        <v>218</v>
      </c>
      <c r="F26" s="7" t="s">
        <v>218</v>
      </c>
      <c r="G26" s="32" t="s">
        <v>385</v>
      </c>
      <c r="H26" s="6"/>
      <c r="I26" s="31" t="s">
        <v>388</v>
      </c>
      <c r="J26" s="6"/>
      <c r="K26" s="6"/>
      <c r="L26" s="6"/>
      <c r="M26" s="6"/>
    </row>
    <row r="27" spans="1:13" ht="37.5" x14ac:dyDescent="0.3">
      <c r="A27" s="6" t="s">
        <v>219</v>
      </c>
      <c r="B27" s="7" t="s">
        <v>220</v>
      </c>
      <c r="C27" s="7" t="s">
        <v>221</v>
      </c>
      <c r="D27" s="7" t="s">
        <v>222</v>
      </c>
      <c r="E27" s="7" t="s">
        <v>223</v>
      </c>
      <c r="F27" s="7" t="s">
        <v>223</v>
      </c>
      <c r="G27" s="32" t="s">
        <v>385</v>
      </c>
      <c r="H27" s="6"/>
      <c r="I27" s="31" t="s">
        <v>388</v>
      </c>
      <c r="J27" s="6"/>
      <c r="K27" s="6"/>
      <c r="L27" s="6"/>
      <c r="M27" s="6"/>
    </row>
    <row r="28" spans="1:13" ht="37.5" x14ac:dyDescent="0.3">
      <c r="A28" s="6" t="s">
        <v>224</v>
      </c>
      <c r="B28" s="7" t="s">
        <v>225</v>
      </c>
      <c r="C28" s="7" t="s">
        <v>226</v>
      </c>
      <c r="D28" s="7" t="s">
        <v>227</v>
      </c>
      <c r="E28" s="7" t="s">
        <v>228</v>
      </c>
      <c r="F28" s="7" t="s">
        <v>228</v>
      </c>
      <c r="G28" s="32" t="s">
        <v>385</v>
      </c>
      <c r="H28" s="6"/>
      <c r="I28" s="31" t="s">
        <v>388</v>
      </c>
      <c r="J28" s="6"/>
      <c r="K28" s="6"/>
      <c r="L28" s="6"/>
      <c r="M28" s="6"/>
    </row>
    <row r="29" spans="1:13" ht="37.5" x14ac:dyDescent="0.3">
      <c r="A29" s="6" t="s">
        <v>229</v>
      </c>
      <c r="B29" s="7" t="s">
        <v>230</v>
      </c>
      <c r="C29" s="7" t="s">
        <v>231</v>
      </c>
      <c r="D29" s="7" t="s">
        <v>232</v>
      </c>
      <c r="E29" s="7" t="s">
        <v>233</v>
      </c>
      <c r="F29" s="7" t="s">
        <v>233</v>
      </c>
      <c r="G29" s="32" t="s">
        <v>385</v>
      </c>
      <c r="H29" s="6"/>
      <c r="I29" s="31" t="s">
        <v>388</v>
      </c>
      <c r="J29" s="6"/>
      <c r="K29" s="6"/>
      <c r="L29" s="6"/>
      <c r="M29" s="6"/>
    </row>
    <row r="30" spans="1:13" ht="37.5" x14ac:dyDescent="0.3">
      <c r="A30" s="6" t="s">
        <v>234</v>
      </c>
      <c r="B30" s="7" t="s">
        <v>235</v>
      </c>
      <c r="C30" s="7" t="s">
        <v>236</v>
      </c>
      <c r="D30" s="7" t="s">
        <v>180</v>
      </c>
      <c r="E30" s="7" t="s">
        <v>237</v>
      </c>
      <c r="F30" s="7" t="s">
        <v>237</v>
      </c>
      <c r="G30" s="32" t="s">
        <v>385</v>
      </c>
      <c r="H30" s="6"/>
      <c r="I30" s="31" t="s">
        <v>388</v>
      </c>
      <c r="J30" s="6"/>
      <c r="K30" s="6"/>
      <c r="L30" s="6"/>
      <c r="M30" s="6"/>
    </row>
    <row r="31" spans="1:13" x14ac:dyDescent="0.3">
      <c r="A31" s="6" t="s">
        <v>238</v>
      </c>
      <c r="B31" s="7" t="s">
        <v>239</v>
      </c>
      <c r="C31" s="7" t="s">
        <v>240</v>
      </c>
      <c r="D31" s="7" t="s">
        <v>241</v>
      </c>
      <c r="E31" s="7" t="s">
        <v>242</v>
      </c>
      <c r="F31" s="7" t="s">
        <v>242</v>
      </c>
      <c r="G31" s="32" t="s">
        <v>385</v>
      </c>
      <c r="H31" s="6"/>
      <c r="I31" s="31" t="s">
        <v>388</v>
      </c>
      <c r="J31" s="6"/>
      <c r="K31" s="6"/>
      <c r="L31" s="6"/>
      <c r="M31" s="6"/>
    </row>
  </sheetData>
  <mergeCells count="15">
    <mergeCell ref="A21:M21"/>
    <mergeCell ref="G12:I12"/>
    <mergeCell ref="J12:L12"/>
    <mergeCell ref="M12:M14"/>
    <mergeCell ref="G13:I13"/>
    <mergeCell ref="J13:L13"/>
    <mergeCell ref="A15:M15"/>
    <mergeCell ref="B1:F1"/>
    <mergeCell ref="B2:F2"/>
    <mergeCell ref="A12:A14"/>
    <mergeCell ref="B12:B14"/>
    <mergeCell ref="C12:C14"/>
    <mergeCell ref="D12:D14"/>
    <mergeCell ref="E12:E14"/>
    <mergeCell ref="F12:F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1"/>
  <sheetViews>
    <sheetView topLeftCell="C11" zoomScale="40" zoomScaleNormal="40" workbookViewId="0">
      <selection activeCell="F27" sqref="F27"/>
    </sheetView>
  </sheetViews>
  <sheetFormatPr defaultRowHeight="18.75" x14ac:dyDescent="0.3"/>
  <cols>
    <col min="1" max="1" width="38.5703125" style="13" bestFit="1" customWidth="1"/>
    <col min="2" max="2" width="68.85546875" style="13" bestFit="1" customWidth="1"/>
    <col min="3" max="3" width="75.7109375" style="13" bestFit="1" customWidth="1"/>
    <col min="4" max="4" width="36.5703125" style="13" bestFit="1" customWidth="1"/>
    <col min="5" max="6" width="98.28515625" style="13" bestFit="1" customWidth="1"/>
    <col min="7" max="7" width="17.7109375" style="13" bestFit="1" customWidth="1"/>
    <col min="8" max="8" width="23.7109375" style="13" bestFit="1" customWidth="1"/>
    <col min="9" max="9" width="15.42578125" style="13" bestFit="1" customWidth="1"/>
    <col min="10" max="10" width="11" style="13" bestFit="1" customWidth="1"/>
    <col min="11" max="11" width="14.42578125" style="13" bestFit="1" customWidth="1"/>
    <col min="12" max="12" width="15.42578125" style="13" bestFit="1" customWidth="1"/>
    <col min="13" max="13" width="10.5703125" style="13" bestFit="1" customWidth="1"/>
    <col min="14" max="16384" width="9.140625" style="13"/>
  </cols>
  <sheetData>
    <row r="1" spans="1:13" x14ac:dyDescent="0.3">
      <c r="A1" s="8" t="s">
        <v>0</v>
      </c>
      <c r="B1" s="28" t="s">
        <v>1</v>
      </c>
      <c r="C1" s="28"/>
      <c r="D1" s="28"/>
      <c r="E1" s="28"/>
      <c r="F1" s="28"/>
    </row>
    <row r="2" spans="1:13" x14ac:dyDescent="0.3">
      <c r="A2" s="8" t="s">
        <v>2</v>
      </c>
      <c r="B2" s="29" t="s">
        <v>243</v>
      </c>
      <c r="C2" s="29"/>
      <c r="D2" s="29"/>
      <c r="E2" s="29"/>
      <c r="F2" s="29"/>
    </row>
    <row r="3" spans="1:13" x14ac:dyDescent="0.3">
      <c r="A3" s="6"/>
      <c r="B3" s="21" t="s">
        <v>4</v>
      </c>
      <c r="C3" s="21" t="s">
        <v>5</v>
      </c>
      <c r="D3" s="21" t="s">
        <v>6</v>
      </c>
      <c r="E3" s="21" t="s">
        <v>382</v>
      </c>
      <c r="F3" s="21" t="s">
        <v>383</v>
      </c>
    </row>
    <row r="4" spans="1:13" x14ac:dyDescent="0.3">
      <c r="A4" s="6" t="s">
        <v>7</v>
      </c>
      <c r="B4" s="6">
        <f>COUNTIF(G16:G80,"Passed")</f>
        <v>0</v>
      </c>
      <c r="C4" s="6">
        <f>COUNTIF(G16:G80,"Failed")</f>
        <v>0</v>
      </c>
      <c r="D4" s="6">
        <f>COUNTIF(G16:G80,"Untested")</f>
        <v>0</v>
      </c>
      <c r="E4" s="6">
        <f>COUNTIF(G16:G80,"Blocked")</f>
        <v>0</v>
      </c>
      <c r="F4" s="6">
        <f>COUNTA(A16:A80)</f>
        <v>16</v>
      </c>
    </row>
    <row r="5" spans="1:13" x14ac:dyDescent="0.3">
      <c r="A5" s="6" t="s">
        <v>8</v>
      </c>
      <c r="B5" s="6">
        <f>COUNTIF(J16:J80,"Passed")</f>
        <v>0</v>
      </c>
      <c r="C5" s="6">
        <f>COUNTIF(J16:J80,"Failed")</f>
        <v>0</v>
      </c>
      <c r="D5" s="6">
        <f>COUNTIF(J16:J80,"Untested")</f>
        <v>0</v>
      </c>
      <c r="E5" s="6">
        <f>COUNTIF(J16:J80,"Blocked")</f>
        <v>0</v>
      </c>
      <c r="F5" s="6">
        <f>COUNTA(A16:A80)</f>
        <v>16</v>
      </c>
    </row>
    <row r="12" spans="1:13" x14ac:dyDescent="0.3">
      <c r="A12" s="22" t="s">
        <v>9</v>
      </c>
      <c r="B12" s="22" t="s">
        <v>10</v>
      </c>
      <c r="C12" s="22" t="s">
        <v>384</v>
      </c>
      <c r="D12" s="22" t="s">
        <v>11</v>
      </c>
      <c r="E12" s="23" t="s">
        <v>12</v>
      </c>
      <c r="F12" s="22" t="s">
        <v>13</v>
      </c>
      <c r="G12" s="22" t="s">
        <v>14</v>
      </c>
      <c r="H12" s="22"/>
      <c r="I12" s="22"/>
      <c r="J12" s="22" t="s">
        <v>14</v>
      </c>
      <c r="K12" s="22"/>
      <c r="L12" s="22"/>
      <c r="M12" s="22" t="s">
        <v>15</v>
      </c>
    </row>
    <row r="13" spans="1:13" x14ac:dyDescent="0.3">
      <c r="A13" s="22"/>
      <c r="B13" s="22"/>
      <c r="C13" s="22"/>
      <c r="D13" s="22"/>
      <c r="E13" s="23"/>
      <c r="F13" s="22"/>
      <c r="G13" s="22" t="s">
        <v>16</v>
      </c>
      <c r="H13" s="22"/>
      <c r="I13" s="22"/>
      <c r="J13" s="22" t="s">
        <v>17</v>
      </c>
      <c r="K13" s="22"/>
      <c r="L13" s="22"/>
      <c r="M13" s="22"/>
    </row>
    <row r="14" spans="1:13" x14ac:dyDescent="0.3">
      <c r="A14" s="22"/>
      <c r="B14" s="22"/>
      <c r="C14" s="22"/>
      <c r="D14" s="22"/>
      <c r="E14" s="23"/>
      <c r="F14" s="22"/>
      <c r="G14" s="24" t="s">
        <v>18</v>
      </c>
      <c r="H14" s="25" t="s">
        <v>19</v>
      </c>
      <c r="I14" s="24" t="s">
        <v>20</v>
      </c>
      <c r="J14" s="24" t="s">
        <v>18</v>
      </c>
      <c r="K14" s="25" t="s">
        <v>19</v>
      </c>
      <c r="L14" s="24" t="s">
        <v>20</v>
      </c>
      <c r="M14" s="22"/>
    </row>
    <row r="15" spans="1:13" x14ac:dyDescent="0.3">
      <c r="A15" s="5" t="s">
        <v>244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</row>
    <row r="16" spans="1:13" ht="37.5" x14ac:dyDescent="0.3">
      <c r="A16" s="6" t="s">
        <v>245</v>
      </c>
      <c r="B16" s="6" t="s">
        <v>246</v>
      </c>
      <c r="C16" s="6" t="s">
        <v>175</v>
      </c>
      <c r="D16" s="6" t="s">
        <v>247</v>
      </c>
      <c r="E16" s="7" t="s">
        <v>248</v>
      </c>
      <c r="F16" s="7" t="s">
        <v>248</v>
      </c>
      <c r="G16" s="32" t="s">
        <v>385</v>
      </c>
      <c r="H16" s="6"/>
      <c r="I16" s="33" t="s">
        <v>389</v>
      </c>
      <c r="J16" s="6"/>
      <c r="K16" s="6"/>
      <c r="L16" s="6"/>
      <c r="M16" s="6"/>
    </row>
    <row r="17" spans="1:13" ht="56.25" x14ac:dyDescent="0.3">
      <c r="A17" s="6" t="s">
        <v>249</v>
      </c>
      <c r="B17" s="6" t="s">
        <v>250</v>
      </c>
      <c r="C17" s="6" t="s">
        <v>188</v>
      </c>
      <c r="D17" s="6" t="s">
        <v>251</v>
      </c>
      <c r="E17" s="7" t="s">
        <v>252</v>
      </c>
      <c r="F17" s="7" t="s">
        <v>252</v>
      </c>
      <c r="G17" s="32" t="s">
        <v>385</v>
      </c>
      <c r="H17" s="6"/>
      <c r="I17" s="33" t="s">
        <v>389</v>
      </c>
      <c r="J17" s="6"/>
      <c r="K17" s="6"/>
      <c r="L17" s="6"/>
      <c r="M17" s="6"/>
    </row>
    <row r="18" spans="1:13" ht="37.5" x14ac:dyDescent="0.3">
      <c r="A18" s="6" t="s">
        <v>253</v>
      </c>
      <c r="B18" s="6" t="s">
        <v>254</v>
      </c>
      <c r="C18" s="6" t="s">
        <v>255</v>
      </c>
      <c r="D18" s="6" t="s">
        <v>251</v>
      </c>
      <c r="E18" s="7" t="s">
        <v>256</v>
      </c>
      <c r="F18" s="7" t="s">
        <v>256</v>
      </c>
      <c r="G18" s="32" t="s">
        <v>385</v>
      </c>
      <c r="H18" s="6"/>
      <c r="I18" s="33" t="s">
        <v>389</v>
      </c>
      <c r="J18" s="6"/>
      <c r="K18" s="6"/>
      <c r="L18" s="6"/>
      <c r="M18" s="6"/>
    </row>
    <row r="19" spans="1:13" ht="37.5" x14ac:dyDescent="0.3">
      <c r="A19" s="6" t="s">
        <v>257</v>
      </c>
      <c r="B19" s="6" t="s">
        <v>258</v>
      </c>
      <c r="C19" s="6" t="s">
        <v>120</v>
      </c>
      <c r="D19" s="6" t="s">
        <v>259</v>
      </c>
      <c r="E19" s="7" t="s">
        <v>260</v>
      </c>
      <c r="F19" s="7" t="s">
        <v>260</v>
      </c>
      <c r="G19" s="32" t="s">
        <v>385</v>
      </c>
      <c r="H19" s="6"/>
      <c r="I19" s="33" t="s">
        <v>389</v>
      </c>
      <c r="J19" s="6"/>
      <c r="K19" s="6"/>
      <c r="L19" s="6"/>
      <c r="M19" s="6"/>
    </row>
    <row r="20" spans="1:13" ht="56.25" x14ac:dyDescent="0.3">
      <c r="A20" s="6" t="s">
        <v>261</v>
      </c>
      <c r="B20" s="6" t="s">
        <v>262</v>
      </c>
      <c r="C20" s="6" t="s">
        <v>184</v>
      </c>
      <c r="D20" s="6" t="s">
        <v>251</v>
      </c>
      <c r="E20" s="7" t="s">
        <v>263</v>
      </c>
      <c r="F20" s="7" t="s">
        <v>263</v>
      </c>
      <c r="G20" s="32" t="s">
        <v>385</v>
      </c>
      <c r="H20" s="6"/>
      <c r="I20" s="33" t="s">
        <v>389</v>
      </c>
      <c r="J20" s="6"/>
      <c r="K20" s="6"/>
      <c r="L20" s="6"/>
      <c r="M20" s="6"/>
    </row>
    <row r="21" spans="1:13" x14ac:dyDescent="0.3">
      <c r="A21" s="5" t="s">
        <v>264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</row>
    <row r="22" spans="1:13" ht="75" x14ac:dyDescent="0.3">
      <c r="A22" s="6" t="s">
        <v>265</v>
      </c>
      <c r="B22" s="6" t="s">
        <v>266</v>
      </c>
      <c r="C22" s="7" t="s">
        <v>267</v>
      </c>
      <c r="D22" s="6" t="s">
        <v>268</v>
      </c>
      <c r="E22" s="7" t="s">
        <v>269</v>
      </c>
      <c r="F22" s="7" t="s">
        <v>269</v>
      </c>
      <c r="G22" s="32" t="s">
        <v>385</v>
      </c>
      <c r="H22" s="6"/>
      <c r="I22" s="33" t="s">
        <v>389</v>
      </c>
      <c r="J22" s="6"/>
      <c r="K22" s="6"/>
      <c r="L22" s="6"/>
      <c r="M22" s="6"/>
    </row>
    <row r="23" spans="1:13" ht="56.25" x14ac:dyDescent="0.3">
      <c r="A23" s="6" t="s">
        <v>270</v>
      </c>
      <c r="B23" s="6" t="s">
        <v>271</v>
      </c>
      <c r="C23" s="7" t="s">
        <v>272</v>
      </c>
      <c r="D23" s="6" t="s">
        <v>273</v>
      </c>
      <c r="E23" s="7" t="s">
        <v>274</v>
      </c>
      <c r="F23" s="7" t="s">
        <v>274</v>
      </c>
      <c r="G23" s="32" t="s">
        <v>385</v>
      </c>
      <c r="H23" s="6"/>
      <c r="I23" s="33" t="s">
        <v>389</v>
      </c>
      <c r="J23" s="6"/>
      <c r="K23" s="6"/>
      <c r="L23" s="6"/>
      <c r="M23" s="6"/>
    </row>
    <row r="24" spans="1:13" ht="56.25" x14ac:dyDescent="0.3">
      <c r="A24" s="6" t="s">
        <v>275</v>
      </c>
      <c r="B24" s="6" t="s">
        <v>276</v>
      </c>
      <c r="C24" s="7" t="s">
        <v>277</v>
      </c>
      <c r="D24" s="6" t="s">
        <v>273</v>
      </c>
      <c r="E24" s="7" t="s">
        <v>278</v>
      </c>
      <c r="F24" s="7" t="s">
        <v>278</v>
      </c>
      <c r="G24" s="32" t="s">
        <v>385</v>
      </c>
      <c r="H24" s="6"/>
      <c r="I24" s="33" t="s">
        <v>389</v>
      </c>
      <c r="J24" s="6"/>
      <c r="K24" s="6"/>
      <c r="L24" s="6"/>
      <c r="M24" s="6"/>
    </row>
    <row r="25" spans="1:13" ht="37.5" x14ac:dyDescent="0.3">
      <c r="A25" s="6" t="s">
        <v>279</v>
      </c>
      <c r="B25" s="6" t="s">
        <v>280</v>
      </c>
      <c r="C25" s="7" t="s">
        <v>281</v>
      </c>
      <c r="D25" s="6" t="s">
        <v>282</v>
      </c>
      <c r="E25" s="7" t="s">
        <v>283</v>
      </c>
      <c r="F25" s="7" t="s">
        <v>283</v>
      </c>
      <c r="G25" s="32" t="s">
        <v>385</v>
      </c>
      <c r="H25" s="6"/>
      <c r="I25" s="33" t="s">
        <v>389</v>
      </c>
      <c r="J25" s="6"/>
      <c r="K25" s="6"/>
      <c r="L25" s="6"/>
      <c r="M25" s="6"/>
    </row>
    <row r="26" spans="1:13" x14ac:dyDescent="0.3">
      <c r="A26" s="6" t="s">
        <v>284</v>
      </c>
      <c r="B26" s="6" t="s">
        <v>285</v>
      </c>
      <c r="C26" s="7" t="s">
        <v>286</v>
      </c>
      <c r="D26" s="6" t="s">
        <v>282</v>
      </c>
      <c r="E26" s="7" t="s">
        <v>287</v>
      </c>
      <c r="F26" s="7" t="s">
        <v>287</v>
      </c>
      <c r="G26" s="32" t="s">
        <v>385</v>
      </c>
      <c r="H26" s="6"/>
      <c r="I26" s="33" t="s">
        <v>389</v>
      </c>
      <c r="J26" s="6"/>
      <c r="K26" s="6"/>
      <c r="L26" s="6"/>
      <c r="M26" s="6"/>
    </row>
    <row r="27" spans="1:13" ht="56.25" x14ac:dyDescent="0.3">
      <c r="A27" s="6" t="s">
        <v>288</v>
      </c>
      <c r="B27" s="6" t="s">
        <v>289</v>
      </c>
      <c r="C27" s="7" t="s">
        <v>290</v>
      </c>
      <c r="D27" s="6" t="s">
        <v>291</v>
      </c>
      <c r="E27" s="7" t="s">
        <v>292</v>
      </c>
      <c r="F27" s="7" t="s">
        <v>292</v>
      </c>
      <c r="G27" s="32" t="s">
        <v>385</v>
      </c>
      <c r="H27" s="6"/>
      <c r="I27" s="33" t="s">
        <v>389</v>
      </c>
      <c r="J27" s="6"/>
      <c r="K27" s="6"/>
      <c r="L27" s="6"/>
      <c r="M27" s="6"/>
    </row>
    <row r="28" spans="1:13" ht="56.25" x14ac:dyDescent="0.3">
      <c r="A28" s="6" t="s">
        <v>293</v>
      </c>
      <c r="B28" s="6" t="s">
        <v>294</v>
      </c>
      <c r="C28" s="7" t="s">
        <v>295</v>
      </c>
      <c r="D28" s="6" t="s">
        <v>296</v>
      </c>
      <c r="E28" s="7" t="s">
        <v>297</v>
      </c>
      <c r="F28" s="7" t="s">
        <v>297</v>
      </c>
      <c r="G28" s="32" t="s">
        <v>385</v>
      </c>
      <c r="H28" s="6"/>
      <c r="I28" s="33" t="s">
        <v>389</v>
      </c>
      <c r="J28" s="6"/>
      <c r="K28" s="6"/>
      <c r="L28" s="6"/>
      <c r="M28" s="6"/>
    </row>
    <row r="29" spans="1:13" ht="56.25" x14ac:dyDescent="0.3">
      <c r="A29" s="6" t="s">
        <v>298</v>
      </c>
      <c r="B29" s="6" t="s">
        <v>299</v>
      </c>
      <c r="C29" s="7" t="s">
        <v>300</v>
      </c>
      <c r="D29" s="6" t="s">
        <v>301</v>
      </c>
      <c r="E29" s="7" t="s">
        <v>302</v>
      </c>
      <c r="F29" s="7" t="s">
        <v>302</v>
      </c>
      <c r="G29" s="32" t="s">
        <v>385</v>
      </c>
      <c r="H29" s="6"/>
      <c r="I29" s="33" t="s">
        <v>389</v>
      </c>
      <c r="J29" s="6"/>
      <c r="K29" s="6"/>
      <c r="L29" s="6"/>
      <c r="M29" s="6"/>
    </row>
    <row r="30" spans="1:13" ht="56.25" x14ac:dyDescent="0.3">
      <c r="A30" s="6" t="s">
        <v>303</v>
      </c>
      <c r="B30" s="6" t="s">
        <v>304</v>
      </c>
      <c r="C30" s="7" t="s">
        <v>305</v>
      </c>
      <c r="D30" s="6" t="s">
        <v>306</v>
      </c>
      <c r="E30" s="7" t="s">
        <v>307</v>
      </c>
      <c r="F30" s="7" t="s">
        <v>307</v>
      </c>
      <c r="G30" s="32" t="s">
        <v>385</v>
      </c>
      <c r="H30" s="6"/>
      <c r="I30" s="33" t="s">
        <v>389</v>
      </c>
      <c r="J30" s="6"/>
      <c r="K30" s="6"/>
      <c r="L30" s="6"/>
      <c r="M30" s="6"/>
    </row>
    <row r="31" spans="1:13" ht="37.5" x14ac:dyDescent="0.3">
      <c r="A31" s="6" t="s">
        <v>308</v>
      </c>
      <c r="B31" s="6" t="s">
        <v>309</v>
      </c>
      <c r="C31" s="7" t="s">
        <v>310</v>
      </c>
      <c r="D31" s="6" t="s">
        <v>291</v>
      </c>
      <c r="E31" s="7" t="s">
        <v>311</v>
      </c>
      <c r="F31" s="7" t="s">
        <v>311</v>
      </c>
      <c r="G31" s="32" t="s">
        <v>385</v>
      </c>
      <c r="H31" s="6"/>
      <c r="I31" s="33" t="s">
        <v>389</v>
      </c>
      <c r="J31" s="6"/>
      <c r="K31" s="6"/>
      <c r="L31" s="6"/>
      <c r="M31" s="6"/>
    </row>
  </sheetData>
  <mergeCells count="15">
    <mergeCell ref="A15:M15"/>
    <mergeCell ref="A21:M21"/>
    <mergeCell ref="G12:I12"/>
    <mergeCell ref="J12:L12"/>
    <mergeCell ref="M12:M14"/>
    <mergeCell ref="G13:I13"/>
    <mergeCell ref="J13:L13"/>
    <mergeCell ref="B1:F1"/>
    <mergeCell ref="B2:F2"/>
    <mergeCell ref="A12:A14"/>
    <mergeCell ref="B12:B14"/>
    <mergeCell ref="C12:C14"/>
    <mergeCell ref="D12:D14"/>
    <mergeCell ref="E12:E14"/>
    <mergeCell ref="F12:F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31"/>
  <sheetViews>
    <sheetView tabSelected="1" zoomScale="40" zoomScaleNormal="40" workbookViewId="0">
      <selection activeCell="G23" sqref="G23"/>
    </sheetView>
  </sheetViews>
  <sheetFormatPr defaultRowHeight="18.75" x14ac:dyDescent="0.3"/>
  <cols>
    <col min="1" max="1" width="44.85546875" style="13" bestFit="1" customWidth="1"/>
    <col min="2" max="2" width="68.85546875" style="12" bestFit="1" customWidth="1"/>
    <col min="3" max="3" width="39.140625" style="12" bestFit="1" customWidth="1"/>
    <col min="4" max="4" width="35.42578125" style="12" bestFit="1" customWidth="1"/>
    <col min="5" max="6" width="92.28515625" style="12" bestFit="1" customWidth="1"/>
    <col min="7" max="7" width="17.7109375" style="13" bestFit="1" customWidth="1"/>
    <col min="8" max="8" width="23.7109375" style="13" bestFit="1" customWidth="1"/>
    <col min="9" max="9" width="24.42578125" style="13" bestFit="1" customWidth="1"/>
    <col min="10" max="10" width="17.7109375" style="13" bestFit="1" customWidth="1"/>
    <col min="11" max="11" width="23.7109375" style="13" bestFit="1" customWidth="1"/>
    <col min="12" max="12" width="24.42578125" style="13" bestFit="1" customWidth="1"/>
    <col min="13" max="13" width="17.7109375" style="13" bestFit="1" customWidth="1"/>
    <col min="14" max="16384" width="9.140625" style="13"/>
  </cols>
  <sheetData>
    <row r="1" spans="1:13" x14ac:dyDescent="0.3">
      <c r="A1" s="8" t="s">
        <v>0</v>
      </c>
      <c r="B1" s="19" t="s">
        <v>1</v>
      </c>
      <c r="C1" s="19"/>
      <c r="D1" s="19"/>
      <c r="E1" s="19"/>
      <c r="F1" s="19"/>
    </row>
    <row r="2" spans="1:13" x14ac:dyDescent="0.3">
      <c r="A2" s="8" t="s">
        <v>2</v>
      </c>
      <c r="B2" s="20" t="s">
        <v>312</v>
      </c>
      <c r="C2" s="20"/>
      <c r="D2" s="20"/>
      <c r="E2" s="20"/>
      <c r="F2" s="20"/>
    </row>
    <row r="3" spans="1:13" x14ac:dyDescent="0.3">
      <c r="A3" s="6"/>
      <c r="B3" s="21" t="s">
        <v>4</v>
      </c>
      <c r="C3" s="21" t="s">
        <v>5</v>
      </c>
      <c r="D3" s="21" t="s">
        <v>6</v>
      </c>
      <c r="E3" s="21" t="s">
        <v>382</v>
      </c>
      <c r="F3" s="21" t="s">
        <v>383</v>
      </c>
    </row>
    <row r="4" spans="1:13" x14ac:dyDescent="0.3">
      <c r="A4" s="6" t="s">
        <v>7</v>
      </c>
      <c r="B4" s="7">
        <f>COUNTIF(G16:G80,"Passed")</f>
        <v>0</v>
      </c>
      <c r="C4" s="7">
        <f>COUNTIF(G16:G80,"Failed")</f>
        <v>0</v>
      </c>
      <c r="D4" s="7">
        <f>COUNTIF(G16:G80,"Untested")</f>
        <v>0</v>
      </c>
      <c r="E4" s="7">
        <f>COUNTIF(G16:G80,"Blocked")</f>
        <v>0</v>
      </c>
      <c r="F4" s="7">
        <f>COUNTA(A16:A80)</f>
        <v>16</v>
      </c>
    </row>
    <row r="5" spans="1:13" x14ac:dyDescent="0.3">
      <c r="A5" s="6" t="s">
        <v>8</v>
      </c>
      <c r="B5" s="7">
        <f>COUNTIF(J16:J80,"Passed")</f>
        <v>0</v>
      </c>
      <c r="C5" s="7">
        <f>COUNTIF(J16:J80,"Failed")</f>
        <v>0</v>
      </c>
      <c r="D5" s="7">
        <f>COUNTIF(J16:J80,"Untested")</f>
        <v>0</v>
      </c>
      <c r="E5" s="7">
        <f>COUNTIF(J16:J80,"Blocked")</f>
        <v>0</v>
      </c>
      <c r="F5" s="7">
        <f>COUNTA(A16:A80)</f>
        <v>16</v>
      </c>
    </row>
    <row r="12" spans="1:13" x14ac:dyDescent="0.3">
      <c r="A12" s="22" t="s">
        <v>9</v>
      </c>
      <c r="B12" s="22" t="s">
        <v>10</v>
      </c>
      <c r="C12" s="22" t="s">
        <v>384</v>
      </c>
      <c r="D12" s="22" t="s">
        <v>11</v>
      </c>
      <c r="E12" s="23" t="s">
        <v>12</v>
      </c>
      <c r="F12" s="22" t="s">
        <v>13</v>
      </c>
      <c r="G12" s="22" t="s">
        <v>14</v>
      </c>
      <c r="H12" s="22"/>
      <c r="I12" s="22"/>
      <c r="J12" s="22" t="s">
        <v>14</v>
      </c>
      <c r="K12" s="22"/>
      <c r="L12" s="22"/>
      <c r="M12" s="22" t="s">
        <v>15</v>
      </c>
    </row>
    <row r="13" spans="1:13" x14ac:dyDescent="0.3">
      <c r="A13" s="22"/>
      <c r="B13" s="22"/>
      <c r="C13" s="22"/>
      <c r="D13" s="22"/>
      <c r="E13" s="23"/>
      <c r="F13" s="22"/>
      <c r="G13" s="22" t="s">
        <v>16</v>
      </c>
      <c r="H13" s="22"/>
      <c r="I13" s="22"/>
      <c r="J13" s="22" t="s">
        <v>17</v>
      </c>
      <c r="K13" s="22"/>
      <c r="L13" s="22"/>
      <c r="M13" s="22"/>
    </row>
    <row r="14" spans="1:13" x14ac:dyDescent="0.3">
      <c r="A14" s="22"/>
      <c r="B14" s="22"/>
      <c r="C14" s="22"/>
      <c r="D14" s="22"/>
      <c r="E14" s="23"/>
      <c r="F14" s="22"/>
      <c r="G14" s="24" t="s">
        <v>18</v>
      </c>
      <c r="H14" s="25" t="s">
        <v>19</v>
      </c>
      <c r="I14" s="24" t="s">
        <v>20</v>
      </c>
      <c r="J14" s="24" t="s">
        <v>18</v>
      </c>
      <c r="K14" s="25" t="s">
        <v>19</v>
      </c>
      <c r="L14" s="24" t="s">
        <v>20</v>
      </c>
      <c r="M14" s="22"/>
    </row>
    <row r="15" spans="1:13" x14ac:dyDescent="0.3">
      <c r="A15" s="5" t="s">
        <v>313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</row>
    <row r="16" spans="1:13" ht="37.5" x14ac:dyDescent="0.3">
      <c r="A16" s="6" t="s">
        <v>314</v>
      </c>
      <c r="B16" s="7" t="s">
        <v>315</v>
      </c>
      <c r="C16" s="7" t="s">
        <v>175</v>
      </c>
      <c r="D16" s="7" t="s">
        <v>102</v>
      </c>
      <c r="E16" s="7" t="s">
        <v>316</v>
      </c>
      <c r="F16" s="7" t="s">
        <v>316</v>
      </c>
      <c r="G16" s="32" t="s">
        <v>385</v>
      </c>
      <c r="H16" s="6"/>
      <c r="I16" s="31" t="s">
        <v>390</v>
      </c>
      <c r="J16" s="6"/>
      <c r="K16" s="6"/>
      <c r="L16" s="6"/>
      <c r="M16" s="6"/>
    </row>
    <row r="17" spans="1:13" ht="56.25" x14ac:dyDescent="0.3">
      <c r="A17" s="6" t="s">
        <v>317</v>
      </c>
      <c r="B17" s="7" t="s">
        <v>318</v>
      </c>
      <c r="C17" s="7" t="s">
        <v>319</v>
      </c>
      <c r="D17" s="7" t="s">
        <v>320</v>
      </c>
      <c r="E17" s="7" t="s">
        <v>321</v>
      </c>
      <c r="F17" s="7" t="s">
        <v>321</v>
      </c>
      <c r="G17" s="32" t="s">
        <v>385</v>
      </c>
      <c r="H17" s="6"/>
      <c r="I17" s="31" t="s">
        <v>390</v>
      </c>
      <c r="J17" s="6"/>
      <c r="K17" s="6"/>
      <c r="L17" s="6"/>
      <c r="M17" s="6"/>
    </row>
    <row r="18" spans="1:13" ht="37.5" x14ac:dyDescent="0.3">
      <c r="A18" s="6" t="s">
        <v>322</v>
      </c>
      <c r="B18" s="7" t="s">
        <v>323</v>
      </c>
      <c r="C18" s="7" t="s">
        <v>324</v>
      </c>
      <c r="D18" s="7" t="s">
        <v>320</v>
      </c>
      <c r="E18" s="7" t="s">
        <v>325</v>
      </c>
      <c r="F18" s="7" t="s">
        <v>325</v>
      </c>
      <c r="G18" s="32" t="s">
        <v>385</v>
      </c>
      <c r="H18" s="6"/>
      <c r="I18" s="31" t="s">
        <v>390</v>
      </c>
      <c r="J18" s="6"/>
      <c r="K18" s="6"/>
      <c r="L18" s="6"/>
      <c r="M18" s="6"/>
    </row>
    <row r="19" spans="1:13" ht="37.5" x14ac:dyDescent="0.3">
      <c r="A19" s="6" t="s">
        <v>326</v>
      </c>
      <c r="B19" s="7" t="s">
        <v>327</v>
      </c>
      <c r="C19" s="7" t="s">
        <v>120</v>
      </c>
      <c r="D19" s="7" t="s">
        <v>328</v>
      </c>
      <c r="E19" s="7" t="s">
        <v>329</v>
      </c>
      <c r="F19" s="7" t="s">
        <v>329</v>
      </c>
      <c r="G19" s="32" t="s">
        <v>385</v>
      </c>
      <c r="H19" s="6"/>
      <c r="I19" s="31" t="s">
        <v>390</v>
      </c>
      <c r="J19" s="6"/>
      <c r="K19" s="6"/>
      <c r="L19" s="6"/>
      <c r="M19" s="6"/>
    </row>
    <row r="20" spans="1:13" ht="37.5" x14ac:dyDescent="0.3">
      <c r="A20" s="6" t="s">
        <v>330</v>
      </c>
      <c r="B20" s="7" t="s">
        <v>331</v>
      </c>
      <c r="C20" s="7" t="s">
        <v>332</v>
      </c>
      <c r="D20" s="7" t="s">
        <v>333</v>
      </c>
      <c r="E20" s="7" t="s">
        <v>334</v>
      </c>
      <c r="F20" s="7" t="s">
        <v>334</v>
      </c>
      <c r="G20" s="32" t="s">
        <v>385</v>
      </c>
      <c r="H20" s="6"/>
      <c r="I20" s="31" t="s">
        <v>390</v>
      </c>
      <c r="J20" s="6"/>
      <c r="K20" s="6"/>
      <c r="L20" s="6"/>
      <c r="M20" s="6"/>
    </row>
    <row r="21" spans="1:13" x14ac:dyDescent="0.3">
      <c r="A21" s="5" t="s">
        <v>335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</row>
    <row r="22" spans="1:13" ht="93.75" x14ac:dyDescent="0.3">
      <c r="A22" s="6" t="s">
        <v>336</v>
      </c>
      <c r="B22" s="7" t="s">
        <v>337</v>
      </c>
      <c r="C22" s="7" t="s">
        <v>338</v>
      </c>
      <c r="D22" s="7" t="s">
        <v>180</v>
      </c>
      <c r="E22" s="7" t="s">
        <v>339</v>
      </c>
      <c r="F22" s="7" t="s">
        <v>339</v>
      </c>
      <c r="G22" s="32" t="s">
        <v>385</v>
      </c>
      <c r="H22" s="6"/>
      <c r="I22" s="31" t="s">
        <v>390</v>
      </c>
      <c r="J22" s="6"/>
      <c r="K22" s="6"/>
      <c r="L22" s="6"/>
      <c r="M22" s="6"/>
    </row>
    <row r="23" spans="1:13" ht="56.25" x14ac:dyDescent="0.3">
      <c r="A23" s="6" t="s">
        <v>340</v>
      </c>
      <c r="B23" s="7" t="s">
        <v>341</v>
      </c>
      <c r="C23" s="7" t="s">
        <v>342</v>
      </c>
      <c r="D23" s="7" t="s">
        <v>320</v>
      </c>
      <c r="E23" s="7" t="s">
        <v>343</v>
      </c>
      <c r="F23" s="7" t="s">
        <v>343</v>
      </c>
      <c r="G23" s="32" t="s">
        <v>385</v>
      </c>
      <c r="H23" s="6"/>
      <c r="I23" s="31" t="s">
        <v>390</v>
      </c>
      <c r="J23" s="6"/>
      <c r="K23" s="6"/>
      <c r="L23" s="6"/>
      <c r="M23" s="6"/>
    </row>
    <row r="24" spans="1:13" ht="56.25" x14ac:dyDescent="0.3">
      <c r="A24" s="6" t="s">
        <v>344</v>
      </c>
      <c r="B24" s="7" t="s">
        <v>345</v>
      </c>
      <c r="C24" s="7" t="s">
        <v>346</v>
      </c>
      <c r="D24" s="7" t="s">
        <v>347</v>
      </c>
      <c r="E24" s="7" t="s">
        <v>348</v>
      </c>
      <c r="F24" s="7" t="s">
        <v>348</v>
      </c>
      <c r="G24" s="32" t="s">
        <v>385</v>
      </c>
      <c r="H24" s="6"/>
      <c r="I24" s="31" t="s">
        <v>390</v>
      </c>
      <c r="J24" s="6"/>
      <c r="K24" s="6"/>
      <c r="L24" s="6"/>
      <c r="M24" s="6"/>
    </row>
    <row r="25" spans="1:13" ht="75" x14ac:dyDescent="0.3">
      <c r="A25" s="6" t="s">
        <v>349</v>
      </c>
      <c r="B25" s="7" t="s">
        <v>350</v>
      </c>
      <c r="C25" s="7" t="s">
        <v>351</v>
      </c>
      <c r="D25" s="7" t="s">
        <v>352</v>
      </c>
      <c r="E25" s="7" t="s">
        <v>353</v>
      </c>
      <c r="F25" s="7" t="s">
        <v>353</v>
      </c>
      <c r="G25" s="32" t="s">
        <v>385</v>
      </c>
      <c r="H25" s="6"/>
      <c r="I25" s="31" t="s">
        <v>390</v>
      </c>
      <c r="J25" s="6"/>
      <c r="K25" s="6"/>
      <c r="L25" s="6"/>
      <c r="M25" s="6"/>
    </row>
    <row r="26" spans="1:13" ht="56.25" x14ac:dyDescent="0.3">
      <c r="A26" s="6" t="s">
        <v>354</v>
      </c>
      <c r="B26" s="7" t="s">
        <v>355</v>
      </c>
      <c r="C26" s="7" t="s">
        <v>356</v>
      </c>
      <c r="D26" s="7" t="s">
        <v>352</v>
      </c>
      <c r="E26" s="7" t="s">
        <v>357</v>
      </c>
      <c r="F26" s="7" t="s">
        <v>357</v>
      </c>
      <c r="G26" s="32" t="s">
        <v>385</v>
      </c>
      <c r="H26" s="6"/>
      <c r="I26" s="31" t="s">
        <v>390</v>
      </c>
      <c r="J26" s="6"/>
      <c r="K26" s="6"/>
      <c r="L26" s="6"/>
      <c r="M26" s="6"/>
    </row>
    <row r="27" spans="1:13" ht="37.5" x14ac:dyDescent="0.3">
      <c r="A27" s="6" t="s">
        <v>358</v>
      </c>
      <c r="B27" s="7" t="s">
        <v>359</v>
      </c>
      <c r="C27" s="7" t="s">
        <v>360</v>
      </c>
      <c r="D27" s="7" t="s">
        <v>361</v>
      </c>
      <c r="E27" s="7" t="s">
        <v>362</v>
      </c>
      <c r="F27" s="7" t="s">
        <v>362</v>
      </c>
      <c r="G27" s="32" t="s">
        <v>385</v>
      </c>
      <c r="H27" s="6"/>
      <c r="I27" s="31" t="s">
        <v>390</v>
      </c>
      <c r="J27" s="6"/>
      <c r="K27" s="6"/>
      <c r="L27" s="6"/>
      <c r="M27" s="6"/>
    </row>
    <row r="28" spans="1:13" ht="37.5" x14ac:dyDescent="0.3">
      <c r="A28" s="6" t="s">
        <v>363</v>
      </c>
      <c r="B28" s="7" t="s">
        <v>364</v>
      </c>
      <c r="C28" s="7" t="s">
        <v>365</v>
      </c>
      <c r="D28" s="7" t="s">
        <v>366</v>
      </c>
      <c r="E28" s="7" t="s">
        <v>367</v>
      </c>
      <c r="F28" s="7" t="s">
        <v>367</v>
      </c>
      <c r="G28" s="32" t="s">
        <v>385</v>
      </c>
      <c r="H28" s="6"/>
      <c r="I28" s="31" t="s">
        <v>390</v>
      </c>
      <c r="J28" s="6"/>
      <c r="K28" s="6"/>
      <c r="L28" s="6"/>
      <c r="M28" s="6"/>
    </row>
    <row r="29" spans="1:13" ht="37.5" x14ac:dyDescent="0.3">
      <c r="A29" s="6" t="s">
        <v>368</v>
      </c>
      <c r="B29" s="7" t="s">
        <v>369</v>
      </c>
      <c r="C29" s="7" t="s">
        <v>370</v>
      </c>
      <c r="D29" s="7" t="s">
        <v>180</v>
      </c>
      <c r="E29" s="7" t="s">
        <v>371</v>
      </c>
      <c r="F29" s="7" t="s">
        <v>371</v>
      </c>
      <c r="G29" s="32" t="s">
        <v>385</v>
      </c>
      <c r="H29" s="6"/>
      <c r="I29" s="31" t="s">
        <v>390</v>
      </c>
      <c r="J29" s="6"/>
      <c r="K29" s="6"/>
      <c r="L29" s="6"/>
      <c r="M29" s="6"/>
    </row>
    <row r="30" spans="1:13" ht="56.25" x14ac:dyDescent="0.3">
      <c r="A30" s="6" t="s">
        <v>372</v>
      </c>
      <c r="B30" s="7" t="s">
        <v>373</v>
      </c>
      <c r="C30" s="7" t="s">
        <v>374</v>
      </c>
      <c r="D30" s="7" t="s">
        <v>375</v>
      </c>
      <c r="E30" s="7" t="s">
        <v>376</v>
      </c>
      <c r="F30" s="7" t="s">
        <v>376</v>
      </c>
      <c r="G30" s="32" t="s">
        <v>385</v>
      </c>
      <c r="H30" s="6"/>
      <c r="I30" s="31" t="s">
        <v>390</v>
      </c>
      <c r="J30" s="6"/>
      <c r="K30" s="6"/>
      <c r="L30" s="6"/>
      <c r="M30" s="6"/>
    </row>
    <row r="31" spans="1:13" ht="37.5" x14ac:dyDescent="0.3">
      <c r="A31" s="6" t="s">
        <v>377</v>
      </c>
      <c r="B31" s="7" t="s">
        <v>378</v>
      </c>
      <c r="C31" s="7" t="s">
        <v>379</v>
      </c>
      <c r="D31" s="7" t="s">
        <v>380</v>
      </c>
      <c r="E31" s="7" t="s">
        <v>381</v>
      </c>
      <c r="F31" s="7" t="s">
        <v>381</v>
      </c>
      <c r="G31" s="32" t="s">
        <v>385</v>
      </c>
      <c r="H31" s="6"/>
      <c r="I31" s="31" t="s">
        <v>390</v>
      </c>
      <c r="J31" s="6"/>
      <c r="K31" s="6"/>
      <c r="L31" s="6"/>
      <c r="M31" s="6"/>
    </row>
  </sheetData>
  <mergeCells count="15">
    <mergeCell ref="A15:M15"/>
    <mergeCell ref="A21:M21"/>
    <mergeCell ref="G12:I12"/>
    <mergeCell ref="J12:L12"/>
    <mergeCell ref="M12:M14"/>
    <mergeCell ref="G13:I13"/>
    <mergeCell ref="J13:L13"/>
    <mergeCell ref="B1:F1"/>
    <mergeCell ref="B2:F2"/>
    <mergeCell ref="A12:A14"/>
    <mergeCell ref="B12:B14"/>
    <mergeCell ref="C12:C14"/>
    <mergeCell ref="D12:D14"/>
    <mergeCell ref="E12:E14"/>
    <mergeCell ref="F12:F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Nhận Thông Báo</vt:lpstr>
      <vt:lpstr>Cập Nhật GPS</vt:lpstr>
      <vt:lpstr>Cập Nhật Tiến Độ</vt:lpstr>
      <vt:lpstr>Nộp Báo Cáo</vt:lpstr>
      <vt:lpstr>Yêu Cầu Tài Nguyên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2026-04-25T04:35:02Z</dcterms:created>
  <dcterms:modified xsi:type="dcterms:W3CDTF">2026-04-25T10:31:02Z</dcterms:modified>
</cp:coreProperties>
</file>
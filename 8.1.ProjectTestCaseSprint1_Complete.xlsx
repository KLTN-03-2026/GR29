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Đăng Ký" sheetId="1" state="visible" r:id="rId1"/>
    <sheet xmlns:r="http://schemas.openxmlformats.org/officeDocument/2006/relationships" name="Đăng Nhập" sheetId="2" state="visible" r:id="rId2"/>
    <sheet xmlns:r="http://schemas.openxmlformats.org/officeDocument/2006/relationships" name="Quên Mật Khẩu" sheetId="3" state="visible" r:id="rId3"/>
    <sheet xmlns:r="http://schemas.openxmlformats.org/officeDocument/2006/relationships" name="Dang Xuat" sheetId="4" state="visible" r:id="rId4"/>
    <sheet xmlns:r="http://schemas.openxmlformats.org/officeDocument/2006/relationships" name="Gui Yeu Cau Cuu Ho" sheetId="5" state="visible" r:id="rId5"/>
    <sheet xmlns:r="http://schemas.openxmlformats.org/officeDocument/2006/relationships" name="Xem Trang Thai Yeu Cau" sheetId="6" state="visible" r:id="rId6"/>
    <sheet xmlns:r="http://schemas.openxmlformats.org/officeDocument/2006/relationships" name="Danh Gia Sau Cuu Ho" sheetId="7" state="visible" r:id="rId7"/>
  </sheets>
  <definedNames/>
  <calcPr calcId="191029" fullCalcOnLoad="1"/>
</workbook>
</file>

<file path=xl/styles.xml><?xml version="1.0" encoding="utf-8"?>
<styleSheet xmlns="http://schemas.openxmlformats.org/spreadsheetml/2006/main">
  <numFmts count="0"/>
  <fonts count="8">
    <font>
      <name val="Aptos Narrow"/>
      <charset val="128"/>
      <family val="2"/>
      <color theme="1"/>
      <sz val="11"/>
      <scheme val="minor"/>
    </font>
    <font>
      <name val="Times New Roman"/>
      <family val="1"/>
      <b val="1"/>
      <color rgb="FFFFFFFF"/>
      <sz val="13"/>
    </font>
    <font>
      <name val="Times New Roman"/>
      <family val="1"/>
      <b val="1"/>
      <sz val="13"/>
    </font>
    <font>
      <name val="Times New Roman"/>
      <family val="1"/>
      <sz val="13"/>
    </font>
    <font>
      <name val="Times New Roman"/>
      <family val="1"/>
      <b val="1"/>
      <color indexed="9"/>
      <sz val="13"/>
    </font>
    <font>
      <name val="Arial2"/>
      <sz val="10"/>
    </font>
    <font>
      <name val="Aptos Narrow"/>
      <b val="1"/>
      <sz val="11"/>
    </font>
    <font>
      <name val="Aptos Narrow"/>
      <b val="1"/>
      <sz val="11"/>
    </font>
  </fonts>
  <fills count="7">
    <fill>
      <patternFill/>
    </fill>
    <fill>
      <patternFill patternType="gray125"/>
    </fill>
    <fill>
      <patternFill patternType="solid">
        <fgColor rgb="FF008080"/>
        <bgColor rgb="FF008080"/>
      </patternFill>
    </fill>
    <fill>
      <patternFill patternType="solid">
        <fgColor indexed="21"/>
        <bgColor indexed="38"/>
      </patternFill>
    </fill>
    <fill>
      <patternFill patternType="solid">
        <fgColor indexed="27"/>
        <bgColor indexed="41"/>
      </patternFill>
    </fill>
    <fill>
      <patternFill patternType="solid">
        <fgColor indexed="9"/>
        <bgColor indexed="26"/>
      </patternFill>
    </fill>
    <fill>
      <patternFill patternType="solid">
        <fgColor rgb="FFFFFFFF"/>
        <bgColor rgb="FFFFFFCC"/>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s>
  <cellStyleXfs count="2">
    <xf numFmtId="0" fontId="0" fillId="0" borderId="0"/>
    <xf numFmtId="0" fontId="5" fillId="0" borderId="0" applyAlignment="1">
      <alignment vertical="center"/>
    </xf>
  </cellStyleXfs>
  <cellXfs count="18">
    <xf numFmtId="0" fontId="0" fillId="0" borderId="0" pivotButton="0" quotePrefix="0" xfId="0"/>
    <xf numFmtId="0" fontId="1" fillId="2" borderId="1" applyAlignment="1" pivotButton="0" quotePrefix="0" xfId="0">
      <alignment vertical="center" wrapText="1"/>
    </xf>
    <xf numFmtId="0" fontId="4" fillId="3" borderId="1" applyAlignment="1" pivotButton="0" quotePrefix="0" xfId="0">
      <alignment horizontal="center" vertical="center" wrapText="1"/>
    </xf>
    <xf numFmtId="0" fontId="3" fillId="5" borderId="1" applyAlignment="1" pivotButton="0" quotePrefix="0" xfId="0">
      <alignment horizontal="left" vertical="top" wrapText="1"/>
    </xf>
    <xf numFmtId="0" fontId="0" fillId="0" borderId="1" pivotButton="0" quotePrefix="0" xfId="0"/>
    <xf numFmtId="0" fontId="6" fillId="0" borderId="1" pivotButton="0" quotePrefix="0" xfId="0"/>
    <xf numFmtId="0" fontId="0" fillId="0" borderId="1" applyAlignment="1" pivotButton="0" quotePrefix="0" xfId="0">
      <alignment horizontal="center"/>
    </xf>
    <xf numFmtId="0" fontId="4" fillId="3" borderId="1" applyAlignment="1" pivotButton="0" quotePrefix="0" xfId="0">
      <alignment horizontal="center" vertical="center" wrapText="1"/>
    </xf>
    <xf numFmtId="0" fontId="0" fillId="0" borderId="4" pivotButton="0" quotePrefix="0" xfId="0"/>
    <xf numFmtId="0" fontId="0" fillId="0" borderId="5" pivotButton="0" quotePrefix="0" xfId="0"/>
    <xf numFmtId="0" fontId="2" fillId="0" borderId="1" applyAlignment="1" pivotButton="0" quotePrefix="0" xfId="0">
      <alignment horizontal="left" vertical="center" wrapText="1"/>
    </xf>
    <xf numFmtId="0" fontId="0" fillId="0" borderId="2" pivotButton="0" quotePrefix="0" xfId="0"/>
    <xf numFmtId="0" fontId="0" fillId="0" borderId="3" pivotButton="0" quotePrefix="0" xfId="0"/>
    <xf numFmtId="0" fontId="2" fillId="4" borderId="1" applyAlignment="1" pivotButton="0" quotePrefix="0" xfId="0">
      <alignment vertical="center"/>
    </xf>
    <xf numFmtId="0" fontId="7" fillId="0" borderId="1" pivotButton="0" quotePrefix="0" xfId="0"/>
    <xf numFmtId="0" fontId="0" fillId="0" borderId="1" pivotButton="0" quotePrefix="0" xfId="0"/>
    <xf numFmtId="0" fontId="3" fillId="6" borderId="1" applyAlignment="1" pivotButton="0" quotePrefix="0" xfId="0">
      <alignment horizontal="left" vertical="top" wrapText="1"/>
    </xf>
    <xf numFmtId="14" fontId="3" fillId="5" borderId="1" applyAlignment="1" pivotButton="0" quotePrefix="0" xfId="0">
      <alignment horizontal="left" vertical="top" wrapText="1"/>
    </xf>
  </cellXfs>
  <cellStyles count="2">
    <cellStyle name="Normal" xfId="0" builtinId="0"/>
    <cellStyle name="Normal 10"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M38"/>
  <sheetViews>
    <sheetView zoomScale="55" zoomScaleNormal="55" workbookViewId="0">
      <selection activeCell="F7" sqref="F7"/>
    </sheetView>
  </sheetViews>
  <sheetFormatPr baseColWidth="8" defaultRowHeight="13.5"/>
  <cols>
    <col width="15" customWidth="1" min="1" max="1"/>
    <col width="30" customWidth="1" min="2" max="2"/>
    <col width="35" customWidth="1" min="3" max="3"/>
    <col width="25" customWidth="1" min="4" max="4"/>
    <col width="35" customWidth="1" min="5" max="6"/>
    <col width="12" customWidth="1" min="7" max="7"/>
    <col width="13" customWidth="1" min="8" max="8"/>
    <col width="14" customWidth="1" min="9" max="9"/>
    <col width="12" customWidth="1" min="10" max="10"/>
    <col width="13" customWidth="1" min="11" max="11"/>
    <col width="14" customWidth="1" min="12" max="12"/>
    <col width="15" customWidth="1" min="13" max="13"/>
  </cols>
  <sheetData>
    <row r="1" ht="33" customHeight="1">
      <c r="A1" s="1" t="inlineStr">
        <is>
          <t>Project Name</t>
        </is>
      </c>
      <c r="B1" s="10" t="inlineStr">
        <is>
          <t>Thiết kế và phát triển hệ thống điều phối cứu hộ thông minh trong thiên tai dựa trên phân tích mức độ khẩn cấp</t>
        </is>
      </c>
      <c r="C1" s="11" t="n"/>
      <c r="D1" s="11" t="n"/>
      <c r="E1" s="11" t="n"/>
      <c r="F1" s="12" t="n"/>
    </row>
    <row r="2" ht="33" customHeight="1">
      <c r="A2" s="1" t="inlineStr">
        <is>
          <t>Module Code</t>
        </is>
      </c>
      <c r="B2" s="10" t="inlineStr">
        <is>
          <t>Đăng Ký</t>
        </is>
      </c>
      <c r="C2" s="11" t="n"/>
      <c r="D2" s="11" t="n"/>
      <c r="E2" s="11" t="n"/>
      <c r="F2" s="12" t="n"/>
    </row>
    <row r="3" ht="66" customHeight="1">
      <c r="A3" s="15" t="n"/>
      <c r="B3" s="7" t="inlineStr">
        <is>
          <t>Hoàn thành</t>
        </is>
      </c>
      <c r="C3" s="7" t="inlineStr">
        <is>
          <t>Lỗi</t>
        </is>
      </c>
      <c r="D3" s="7" t="inlineStr">
        <is>
          <t>Chưa kiểm tra</t>
        </is>
      </c>
      <c r="E3" s="7" t="inlineStr">
        <is>
          <t>Bị chặn</t>
        </is>
      </c>
      <c r="F3" s="7" t="inlineStr">
        <is>
          <t>Tổng số trường hợp thử nghiệm</t>
        </is>
      </c>
    </row>
    <row r="4" ht="15" customHeight="1">
      <c r="A4" s="5" t="inlineStr">
        <is>
          <t>Round 1</t>
        </is>
      </c>
      <c r="B4" s="6">
        <f>COUNTIF(G16:G34,"Passed")</f>
        <v/>
      </c>
      <c r="C4" s="6">
        <f>COUNTIF(G16:G34,"Failed")</f>
        <v/>
      </c>
      <c r="D4" s="6">
        <f>COUNTIF(G16:G34,"Untested")</f>
        <v/>
      </c>
      <c r="E4" s="6">
        <f>COUNTIF(G16:G34,"Blocked")</f>
        <v/>
      </c>
      <c r="F4" s="6">
        <f>COUNTA(A16:A34)</f>
        <v/>
      </c>
    </row>
    <row r="5" ht="15" customHeight="1">
      <c r="A5" s="5" t="inlineStr">
        <is>
          <t>Round 2</t>
        </is>
      </c>
      <c r="B5" s="6">
        <f>COUNTIF(J16:J34,"Passed")</f>
        <v/>
      </c>
      <c r="C5" s="6">
        <f>COUNTIF(J16:J34,"Failed")</f>
        <v/>
      </c>
      <c r="D5" s="6">
        <f>COUNTIF(J16:J34,"Untested")</f>
        <v/>
      </c>
      <c r="E5" s="6">
        <f>COUNTIF(J16:J34,"Blocked")</f>
        <v/>
      </c>
      <c r="F5" s="6">
        <f>COUNTA(A16:A34)</f>
        <v/>
      </c>
    </row>
    <row r="6" ht="33.75" customHeight="1"/>
    <row r="7" ht="33.75" customHeight="1"/>
    <row r="8" ht="33.75" customHeight="1"/>
    <row r="9" ht="33.75" customHeight="1"/>
    <row r="10" ht="33.75" customHeight="1"/>
    <row r="11" ht="33.75" customHeight="1"/>
    <row r="12" ht="16.5" customHeight="1">
      <c r="A12" s="7" t="inlineStr">
        <is>
          <t>Test Case ID</t>
        </is>
      </c>
      <c r="B12" s="7" t="inlineStr">
        <is>
          <t>Mô tả</t>
        </is>
      </c>
      <c r="C12" s="7" t="inlineStr">
        <is>
          <t>Hành động</t>
        </is>
      </c>
      <c r="D12" s="7" t="inlineStr">
        <is>
          <t>Điều kiện tiên quyết</t>
        </is>
      </c>
      <c r="E12" s="7" t="inlineStr">
        <is>
          <t>Kết quả mong đợi</t>
        </is>
      </c>
      <c r="F12" s="7" t="inlineStr">
        <is>
          <t>Kết quả thực tế</t>
        </is>
      </c>
      <c r="G12" s="7" t="inlineStr">
        <is>
          <t>Kết quả</t>
        </is>
      </c>
      <c r="H12" s="11" t="n"/>
      <c r="I12" s="12" t="n"/>
      <c r="J12" s="7" t="inlineStr">
        <is>
          <t>Kết quả</t>
        </is>
      </c>
      <c r="K12" s="11" t="n"/>
      <c r="L12" s="12" t="n"/>
      <c r="M12" s="7" t="inlineStr">
        <is>
          <t>Chú thích</t>
        </is>
      </c>
    </row>
    <row r="13" ht="16.5" customHeight="1">
      <c r="A13" s="8" t="n"/>
      <c r="B13" s="8" t="n"/>
      <c r="C13" s="8" t="n"/>
      <c r="D13" s="8" t="n"/>
      <c r="E13" s="8" t="n"/>
      <c r="F13" s="8" t="n"/>
      <c r="G13" s="7" t="inlineStr">
        <is>
          <t>Vòng 1</t>
        </is>
      </c>
      <c r="H13" s="11" t="n"/>
      <c r="I13" s="12" t="n"/>
      <c r="J13" s="7" t="inlineStr">
        <is>
          <t>Vòng 2</t>
        </is>
      </c>
      <c r="K13" s="11" t="n"/>
      <c r="L13" s="12" t="n"/>
      <c r="M13" s="8" t="n"/>
    </row>
    <row r="14" ht="33" customHeight="1">
      <c r="A14" s="9" t="n"/>
      <c r="B14" s="9" t="n"/>
      <c r="C14" s="9" t="n"/>
      <c r="D14" s="9" t="n"/>
      <c r="E14" s="9" t="n"/>
      <c r="F14" s="9" t="n"/>
      <c r="G14" s="7" t="inlineStr">
        <is>
          <t>Trạng thái</t>
        </is>
      </c>
      <c r="H14" s="7" t="inlineStr">
        <is>
          <t>Ngày kiểm tra</t>
        </is>
      </c>
      <c r="I14" s="7" t="inlineStr">
        <is>
          <t>Người kiểm tra</t>
        </is>
      </c>
      <c r="J14" s="7" t="inlineStr">
        <is>
          <t>Trạng thái</t>
        </is>
      </c>
      <c r="K14" s="7" t="inlineStr">
        <is>
          <t>Ngày kiểm tra</t>
        </is>
      </c>
      <c r="L14" s="7" t="inlineStr">
        <is>
          <t>Người kiểm tra</t>
        </is>
      </c>
      <c r="M14" s="9" t="n"/>
    </row>
    <row r="15" ht="16.5" customHeight="1">
      <c r="A15" s="13" t="inlineStr">
        <is>
          <t>GUI_SHOW Trang đăng ký</t>
        </is>
      </c>
      <c r="B15" s="11" t="n"/>
      <c r="C15" s="11" t="n"/>
      <c r="D15" s="11" t="n"/>
      <c r="E15" s="11" t="n"/>
      <c r="F15" s="11" t="n"/>
      <c r="G15" s="11" t="n"/>
      <c r="H15" s="11" t="n"/>
      <c r="I15" s="11" t="n"/>
      <c r="J15" s="11" t="n"/>
      <c r="K15" s="11" t="n"/>
      <c r="L15" s="11" t="n"/>
      <c r="M15" s="12" t="n"/>
    </row>
    <row r="16" ht="66" customHeight="1">
      <c r="A16" s="3" t="inlineStr">
        <is>
          <t>GUI-DK01</t>
        </is>
      </c>
      <c r="B16" s="3" t="inlineStr">
        <is>
          <t>[Đăng Ký] Title Label</t>
        </is>
      </c>
      <c r="C16" s="3" t="n"/>
      <c r="D16" s="3" t="n"/>
      <c r="E16" s="3" t="inlineStr">
        <is>
          <t>-Label: "Create your account"
-Text color: dark
-Status: enable</t>
        </is>
      </c>
      <c r="F16" s="3" t="inlineStr">
        <is>
          <t>-Label: "Create your account"
-Text color: dark
-Status: enable</t>
        </is>
      </c>
      <c r="G16" s="3" t="inlineStr">
        <is>
          <t>Passed</t>
        </is>
      </c>
      <c r="H16" s="3" t="inlineStr">
        <is>
          <t>25-04-2026</t>
        </is>
      </c>
      <c r="I16" s="3" t="inlineStr">
        <is>
          <t>Hiếu</t>
        </is>
      </c>
      <c r="J16" s="3" t="n"/>
      <c r="K16" s="3" t="n"/>
      <c r="L16" s="3" t="n"/>
      <c r="M16" s="3" t="n"/>
    </row>
    <row r="17" ht="66" customHeight="1">
      <c r="A17" s="3" t="inlineStr">
        <is>
          <t>GUI-DK02</t>
        </is>
      </c>
      <c r="B17" s="3" t="inlineStr">
        <is>
          <t>[Họ và Tên] Textbox</t>
        </is>
      </c>
      <c r="C17" s="3" t="n"/>
      <c r="D17" s="3" t="n"/>
      <c r="E17" s="3" t="inlineStr">
        <is>
          <t>-Placeholder: "Nhập họ và tên của bạn"
-Text color: gray
-Status: enable</t>
        </is>
      </c>
      <c r="F17" s="3" t="inlineStr">
        <is>
          <t>-Placeholder: "Nhập họ và tên của bạn"
-Text color: gray
-Status: enable</t>
        </is>
      </c>
      <c r="G17" s="3" t="inlineStr">
        <is>
          <t>Passed</t>
        </is>
      </c>
      <c r="H17" s="3" t="inlineStr">
        <is>
          <t>25-04-2026</t>
        </is>
      </c>
      <c r="I17" s="3" t="inlineStr">
        <is>
          <t>Hiếu</t>
        </is>
      </c>
      <c r="J17" s="3" t="n"/>
      <c r="K17" s="3" t="n"/>
      <c r="L17" s="3" t="n"/>
      <c r="M17" s="3" t="n"/>
    </row>
    <row r="18" ht="66" customHeight="1">
      <c r="A18" s="3" t="inlineStr">
        <is>
          <t>GUI-DK03</t>
        </is>
      </c>
      <c r="B18" s="3" t="inlineStr">
        <is>
          <t>[Số Điện Thoại] Textbox</t>
        </is>
      </c>
      <c r="C18" s="3" t="n"/>
      <c r="D18" s="3" t="n"/>
      <c r="E18" s="3" t="inlineStr">
        <is>
          <t>-Placeholder: "Nhập số điện thoại"
-Text color: gray
-Status: enable</t>
        </is>
      </c>
      <c r="F18" s="3" t="inlineStr">
        <is>
          <t>-Placeholder: "Nhập số điện thoại"
-Text color: gray
-Status: enable</t>
        </is>
      </c>
      <c r="G18" s="3" t="inlineStr">
        <is>
          <t>Passed</t>
        </is>
      </c>
      <c r="H18" s="3" t="inlineStr">
        <is>
          <t>25-04-2026</t>
        </is>
      </c>
      <c r="I18" s="3" t="inlineStr">
        <is>
          <t>Hiếu</t>
        </is>
      </c>
      <c r="J18" s="3" t="n"/>
      <c r="K18" s="3" t="n"/>
      <c r="L18" s="3" t="n"/>
      <c r="M18" s="3" t="n"/>
    </row>
    <row r="19" ht="66" customHeight="1">
      <c r="A19" s="3" t="inlineStr">
        <is>
          <t>GUI-DK04</t>
        </is>
      </c>
      <c r="B19" s="3" t="inlineStr">
        <is>
          <t>[Email] Textbox</t>
        </is>
      </c>
      <c r="C19" s="3" t="n"/>
      <c r="D19" s="3" t="n"/>
      <c r="E19" s="3" t="inlineStr">
        <is>
          <t>-Placeholder: "Nhập email"
-Text color: gray
-Status: enable</t>
        </is>
      </c>
      <c r="F19" s="3" t="inlineStr">
        <is>
          <t>-Placeholder: "Nhập email"
-Text color: gray
-Status: enable</t>
        </is>
      </c>
      <c r="G19" s="3" t="inlineStr">
        <is>
          <t>Passed</t>
        </is>
      </c>
      <c r="H19" s="3" t="inlineStr">
        <is>
          <t>25-04-2026</t>
        </is>
      </c>
      <c r="I19" s="3" t="inlineStr">
        <is>
          <t>Hiếu</t>
        </is>
      </c>
      <c r="J19" s="3" t="n"/>
      <c r="K19" s="3" t="n"/>
      <c r="L19" s="3" t="n"/>
      <c r="M19" s="3" t="n"/>
    </row>
    <row r="20" ht="66" customHeight="1">
      <c r="A20" s="3" t="inlineStr">
        <is>
          <t>GUI-DK05</t>
        </is>
      </c>
      <c r="B20" s="3" t="inlineStr">
        <is>
          <t>[Mật Khẩu] Textbox</t>
        </is>
      </c>
      <c r="C20" s="3" t="n"/>
      <c r="D20" s="3" t="n"/>
      <c r="E20" s="3" t="inlineStr">
        <is>
          <t>-Placeholder: "Tạo mật khẩu"
-Icon ẩn/hiện mật khẩu
-Status: enable</t>
        </is>
      </c>
      <c r="F20" s="3" t="inlineStr">
        <is>
          <t>-Placeholder: "Tạo mật khẩu"
-Icon ẩn/hiện mật khẩu
-Status: enable</t>
        </is>
      </c>
      <c r="G20" s="3" t="inlineStr">
        <is>
          <t>Passed</t>
        </is>
      </c>
      <c r="H20" s="3" t="inlineStr">
        <is>
          <t>25-04-2026</t>
        </is>
      </c>
      <c r="I20" s="3" t="inlineStr">
        <is>
          <t>Hiếu</t>
        </is>
      </c>
      <c r="J20" s="3" t="n"/>
      <c r="K20" s="3" t="n"/>
      <c r="L20" s="3" t="n"/>
      <c r="M20" s="3" t="n"/>
    </row>
    <row r="21" ht="66" customHeight="1">
      <c r="A21" s="3" t="inlineStr">
        <is>
          <t>GUI-DK06</t>
        </is>
      </c>
      <c r="B21" s="3" t="inlineStr">
        <is>
          <t>[Nhập Lại Mật Khẩu] Textbox</t>
        </is>
      </c>
      <c r="C21" s="3" t="n"/>
      <c r="D21" s="3" t="n"/>
      <c r="E21" s="3" t="inlineStr">
        <is>
          <t>-Placeholder: "Nhập lại mật khẩu"
-Icon ẩn/hiện mật khẩu
-Status: enable</t>
        </is>
      </c>
      <c r="F21" s="3" t="inlineStr">
        <is>
          <t>-Placeholder: "Nhập lại mật khẩu"
-Icon ẩn/hiện mật khẩu
-Status: enable</t>
        </is>
      </c>
      <c r="G21" s="3" t="inlineStr">
        <is>
          <t>Passed</t>
        </is>
      </c>
      <c r="H21" s="3" t="inlineStr">
        <is>
          <t>25-04-2026</t>
        </is>
      </c>
      <c r="I21" s="3" t="inlineStr">
        <is>
          <t>Hiếu</t>
        </is>
      </c>
      <c r="J21" s="3" t="n"/>
      <c r="K21" s="3" t="n"/>
      <c r="L21" s="3" t="n"/>
      <c r="M21" s="3" t="n"/>
    </row>
    <row r="22" ht="66" customHeight="1">
      <c r="A22" s="3" t="inlineStr">
        <is>
          <t>GUI-DK07</t>
        </is>
      </c>
      <c r="B22" s="3" t="inlineStr">
        <is>
          <t>[Đăng Ký] Button</t>
        </is>
      </c>
      <c r="C22" s="3" t="n"/>
      <c r="D22" s="3" t="n"/>
      <c r="E22" s="3" t="inlineStr">
        <is>
          <t>-Text: "Đăng Ký"
-Background: blue
-Text color: white
-Status: enable</t>
        </is>
      </c>
      <c r="F22" s="3" t="inlineStr">
        <is>
          <t>-Text: "Đăng Ký"
-Background: blue
-Text color: white
-Status: enable</t>
        </is>
      </c>
      <c r="G22" s="3" t="inlineStr">
        <is>
          <t>Passed</t>
        </is>
      </c>
      <c r="H22" s="3" t="inlineStr">
        <is>
          <t>25-04-2026</t>
        </is>
      </c>
      <c r="I22" s="3" t="inlineStr">
        <is>
          <t>Hiếu</t>
        </is>
      </c>
      <c r="J22" s="3" t="n"/>
      <c r="K22" s="3" t="n"/>
      <c r="L22" s="3" t="n"/>
      <c r="M22" s="3" t="n"/>
    </row>
    <row r="23" ht="66" customHeight="1">
      <c r="A23" s="3" t="inlineStr">
        <is>
          <t>GUI-DK08</t>
        </is>
      </c>
      <c r="B23" s="3" t="inlineStr">
        <is>
          <t>[Đăng ký qua mạng xã hội] Label</t>
        </is>
      </c>
      <c r="C23" s="3" t="n"/>
      <c r="D23" s="3" t="n"/>
      <c r="E23" s="3" t="inlineStr">
        <is>
          <t>-Label: "Đăng ký qua mạng xã hội"
-Status: enable</t>
        </is>
      </c>
      <c r="F23" s="3" t="inlineStr">
        <is>
          <t>-Label: "Đăng ký qua mạng xã hội"
-Status: enable</t>
        </is>
      </c>
      <c r="G23" s="3" t="inlineStr">
        <is>
          <t>Passed</t>
        </is>
      </c>
      <c r="H23" s="3" t="inlineStr">
        <is>
          <t>25-04-2026</t>
        </is>
      </c>
      <c r="I23" s="3" t="inlineStr">
        <is>
          <t>Hiếu</t>
        </is>
      </c>
      <c r="J23" s="3" t="n"/>
      <c r="K23" s="3" t="n"/>
      <c r="L23" s="3" t="n"/>
      <c r="M23" s="3" t="n"/>
    </row>
    <row r="24" ht="66" customHeight="1">
      <c r="A24" s="3" t="inlineStr">
        <is>
          <t>GUI-DK09</t>
        </is>
      </c>
      <c r="B24" s="3" t="inlineStr">
        <is>
          <t>[Google] Button</t>
        </is>
      </c>
      <c r="C24" s="3" t="n"/>
      <c r="D24" s="3" t="n"/>
      <c r="E24" s="3" t="inlineStr">
        <is>
          <t>-Icon Google
-Text: "Google"
-Status: enable</t>
        </is>
      </c>
      <c r="F24" s="3" t="inlineStr">
        <is>
          <t>-Icon Google
-Text: "Google"
-Status: enable</t>
        </is>
      </c>
      <c r="G24" s="3" t="inlineStr">
        <is>
          <t>Passed</t>
        </is>
      </c>
      <c r="H24" s="3" t="inlineStr">
        <is>
          <t>25-04-2026</t>
        </is>
      </c>
      <c r="I24" s="3" t="inlineStr">
        <is>
          <t>Hiếu</t>
        </is>
      </c>
      <c r="J24" s="3" t="n"/>
      <c r="K24" s="3" t="n"/>
      <c r="L24" s="3" t="n"/>
      <c r="M24" s="3" t="n"/>
    </row>
    <row r="25" ht="66" customHeight="1">
      <c r="A25" s="3" t="inlineStr">
        <is>
          <t>GUI-DK10</t>
        </is>
      </c>
      <c r="B25" s="3" t="inlineStr">
        <is>
          <t>[Facebook] Button</t>
        </is>
      </c>
      <c r="C25" s="3" t="n"/>
      <c r="D25" s="3" t="n"/>
      <c r="E25" s="3" t="inlineStr">
        <is>
          <t>-Icon Facebook
-Text: "Facebook"
-Status: enable</t>
        </is>
      </c>
      <c r="F25" s="3" t="inlineStr">
        <is>
          <t>-Icon Facebook
-Text: "Facebook"
-Status: enable</t>
        </is>
      </c>
      <c r="G25" s="3" t="inlineStr">
        <is>
          <t>Passed</t>
        </is>
      </c>
      <c r="H25" s="3" t="inlineStr">
        <is>
          <t>25-04-2026</t>
        </is>
      </c>
      <c r="I25" s="3" t="inlineStr">
        <is>
          <t>Hiếu</t>
        </is>
      </c>
      <c r="J25" s="3" t="n"/>
      <c r="K25" s="3" t="n"/>
      <c r="L25" s="3" t="n"/>
      <c r="M25" s="3" t="n"/>
    </row>
    <row r="26" ht="66" customHeight="1">
      <c r="A26" s="3" t="inlineStr">
        <is>
          <t>GUI-DK11</t>
        </is>
      </c>
      <c r="B26" s="3" t="inlineStr">
        <is>
          <t>[Đã có tài khoản? Đăng nhập] Link</t>
        </is>
      </c>
      <c r="C26" s="3" t="n"/>
      <c r="D26" s="3" t="n"/>
      <c r="E26" s="3" t="inlineStr">
        <is>
          <t>-Text: "Đã có tài khoản? Đăng nhập"
-"Đăng nhập" màu xanh có thể click
-Status: enable</t>
        </is>
      </c>
      <c r="F26" s="3" t="inlineStr">
        <is>
          <t>-Text: "Đã có tài khoản? Đăng nhập"
-"Đăng nhập" màu xanh có thể click
-Status: enable</t>
        </is>
      </c>
      <c r="G26" s="3" t="inlineStr">
        <is>
          <t>Passed</t>
        </is>
      </c>
      <c r="H26" s="3" t="inlineStr">
        <is>
          <t>25-04-2026</t>
        </is>
      </c>
      <c r="I26" s="3" t="inlineStr">
        <is>
          <t>Hiếu</t>
        </is>
      </c>
      <c r="J26" s="3" t="n"/>
      <c r="K26" s="3" t="n"/>
      <c r="L26" s="3" t="n"/>
      <c r="M26" s="3" t="n"/>
    </row>
    <row r="27" ht="16.5" customHeight="1">
      <c r="A27" s="13" t="inlineStr">
        <is>
          <t>FUNCTION_SHOW Trang đăng ký</t>
        </is>
      </c>
      <c r="B27" s="11" t="n"/>
      <c r="C27" s="11" t="n"/>
      <c r="D27" s="11" t="n"/>
      <c r="E27" s="11" t="n"/>
      <c r="F27" s="11" t="n"/>
      <c r="G27" s="11" t="n"/>
      <c r="H27" s="11" t="n"/>
      <c r="I27" s="11" t="n"/>
      <c r="J27" s="11" t="n"/>
      <c r="K27" s="11" t="n"/>
      <c r="L27" s="11" t="n"/>
      <c r="M27" s="12" t="n"/>
    </row>
    <row r="28" ht="82.5" customHeight="1">
      <c r="A28" s="3" t="inlineStr">
        <is>
          <t>FUNC-DK01</t>
        </is>
      </c>
      <c r="B28" s="3" t="inlineStr">
        <is>
          <t>Đăng ký thành công với đầy đủ thông tin hợp lệ</t>
        </is>
      </c>
      <c r="C28" s="3" t="inlineStr">
        <is>
          <t>1. Nhập Họ và Tên hợp lệ
2. Nhập Số điện thoại hợp lệ
3. Nhập Email hợp lệ
4. Nhập Mật khẩu hợp lệ
5. Nhập lại mật khẩu khớp
6. Click "Đăng Ký"</t>
        </is>
      </c>
      <c r="D28" s="3" t="inlineStr">
        <is>
          <t>Truy cập màn hình Đăng Ký</t>
        </is>
      </c>
      <c r="E28" s="3" t="inlineStr">
        <is>
          <t>Đăng ký thành công, chuyển sang màn hình tiếp theo hoặc trang chủ</t>
        </is>
      </c>
      <c r="F28" s="3" t="inlineStr">
        <is>
          <t>Đăng ký thành công, chuyển sang màn hình tiếp theo hoặc trang chủ</t>
        </is>
      </c>
      <c r="G28" s="3" t="inlineStr">
        <is>
          <t>Passed</t>
        </is>
      </c>
      <c r="H28" s="3" t="inlineStr">
        <is>
          <t>25-04-2026</t>
        </is>
      </c>
      <c r="I28" s="3" t="inlineStr">
        <is>
          <t>Hiếu</t>
        </is>
      </c>
      <c r="J28" s="3" t="n"/>
      <c r="K28" s="3" t="n"/>
      <c r="L28" s="3" t="n"/>
      <c r="M28" s="3" t="n"/>
    </row>
    <row r="29" ht="82.5" customHeight="1">
      <c r="A29" s="3" t="inlineStr">
        <is>
          <t>FUNC-DK02</t>
        </is>
      </c>
      <c r="B29" s="3" t="inlineStr">
        <is>
          <t>Để trống trường "Họ và Tên"</t>
        </is>
      </c>
      <c r="C29" s="3" t="inlineStr">
        <is>
          <t>1. Để trống trường Họ và Tên
2. Điền đầy đủ các trường còn lại
3. Click "Đăng Ký"</t>
        </is>
      </c>
      <c r="D29" s="3" t="inlineStr">
        <is>
          <t>Truy cập màn hình Đăng Ký</t>
        </is>
      </c>
      <c r="E29" s="3" t="inlineStr">
        <is>
          <t>Thông báo lỗi: "Vui lòng nhập họ và tên"</t>
        </is>
      </c>
      <c r="F29" s="3" t="inlineStr">
        <is>
          <t>Thông báo lỗi: "Vui lòng nhập họ và tên"</t>
        </is>
      </c>
      <c r="G29" s="3" t="inlineStr">
        <is>
          <t>Passed</t>
        </is>
      </c>
      <c r="H29" s="3" t="inlineStr">
        <is>
          <t>25-04-2026</t>
        </is>
      </c>
      <c r="I29" s="3" t="inlineStr">
        <is>
          <t>Hiếu</t>
        </is>
      </c>
      <c r="J29" s="3" t="n"/>
      <c r="K29" s="3" t="n"/>
      <c r="L29" s="3" t="n"/>
      <c r="M29" s="3" t="n"/>
    </row>
    <row r="30" ht="82.5" customHeight="1">
      <c r="A30" s="3" t="inlineStr">
        <is>
          <t>FUNC-DK03</t>
        </is>
      </c>
      <c r="B30" s="3" t="inlineStr">
        <is>
          <t>Nhập Số Điện Thoại không hợp lệ (ít hơn 10 số hoặc chứa ký tự)</t>
        </is>
      </c>
      <c r="C30" s="3" t="inlineStr">
        <is>
          <t>1. Nhập số điện thoại sai định dạng (vd: "abc123")
2. Click "Đăng Ký"</t>
        </is>
      </c>
      <c r="D30" s="3" t="inlineStr">
        <is>
          <t>Truy cập màn hình Đăng Ký</t>
        </is>
      </c>
      <c r="E30" s="3" t="inlineStr">
        <is>
          <t>Thông báo lỗi: "Số điện thoại không hợp lệ"</t>
        </is>
      </c>
      <c r="F30" s="3" t="inlineStr">
        <is>
          <t>Thông báo lỗi: "Số điện thoại không hợp lệ"</t>
        </is>
      </c>
      <c r="G30" s="3" t="inlineStr">
        <is>
          <t>Passed</t>
        </is>
      </c>
      <c r="H30" s="3" t="inlineStr">
        <is>
          <t>25-04-2026</t>
        </is>
      </c>
      <c r="I30" s="3" t="inlineStr">
        <is>
          <t>Hiếu</t>
        </is>
      </c>
      <c r="J30" s="3" t="n"/>
      <c r="K30" s="3" t="n"/>
      <c r="L30" s="3" t="n"/>
      <c r="M30" s="3" t="n"/>
    </row>
    <row r="31" ht="82.5" customHeight="1">
      <c r="A31" s="3" t="inlineStr">
        <is>
          <t>FUNC-DK04</t>
        </is>
      </c>
      <c r="B31" s="3" t="inlineStr">
        <is>
          <t>Nhập Email sai định dạng</t>
        </is>
      </c>
      <c r="C31" s="3" t="inlineStr">
        <is>
          <t>1. Nhập email sai định dạng (vd: "emailkhonghople")
2. Click "Đăng Ký"</t>
        </is>
      </c>
      <c r="D31" s="3" t="inlineStr">
        <is>
          <t>Truy cập màn hình Đăng Ký</t>
        </is>
      </c>
      <c r="E31" s="3" t="inlineStr">
        <is>
          <t>Thông báo lỗi: "Email không đúng định dạng"</t>
        </is>
      </c>
      <c r="F31" s="3" t="inlineStr">
        <is>
          <t>Thông báo lỗi: "Email không đúng định dạng"</t>
        </is>
      </c>
      <c r="G31" s="3" t="inlineStr">
        <is>
          <t>Passed</t>
        </is>
      </c>
      <c r="H31" s="3" t="inlineStr">
        <is>
          <t>25-04-2026</t>
        </is>
      </c>
      <c r="I31" s="3" t="inlineStr">
        <is>
          <t>Hiếu</t>
        </is>
      </c>
      <c r="J31" s="3" t="n"/>
      <c r="K31" s="3" t="n"/>
      <c r="L31" s="3" t="n"/>
      <c r="M31" s="3" t="n"/>
    </row>
    <row r="32" ht="82.5" customHeight="1">
      <c r="A32" s="3" t="inlineStr">
        <is>
          <t>FUNC-DK05</t>
        </is>
      </c>
      <c r="B32" s="3" t="inlineStr">
        <is>
          <t>Nhập Email đã tồn tại trong hệ thống</t>
        </is>
      </c>
      <c r="C32" s="3" t="inlineStr">
        <is>
          <t>1. Nhập email đã đăng ký
2. Điền đầy đủ các trường còn lại
3. Click "Đăng Ký"</t>
        </is>
      </c>
      <c r="D32" s="3" t="inlineStr">
        <is>
          <t>Tài khoản email đã tồn tại trong hệ thống</t>
        </is>
      </c>
      <c r="E32" s="3" t="inlineStr">
        <is>
          <t>Thông báo lỗi: "Email đã được sử dụng, vui lòng dùng email khác"</t>
        </is>
      </c>
      <c r="F32" s="3" t="inlineStr">
        <is>
          <t>Thông báo lỗi: "Email đã được sử dụng, vui lòng dùng email khác"</t>
        </is>
      </c>
      <c r="G32" s="3" t="inlineStr">
        <is>
          <t>Passed</t>
        </is>
      </c>
      <c r="H32" s="3" t="inlineStr">
        <is>
          <t>25-04-2026</t>
        </is>
      </c>
      <c r="I32" s="3" t="inlineStr">
        <is>
          <t>Hiếu</t>
        </is>
      </c>
      <c r="J32" s="3" t="n"/>
      <c r="K32" s="3" t="n"/>
      <c r="L32" s="3" t="n"/>
      <c r="M32" s="3" t="n"/>
    </row>
    <row r="33" ht="82.5" customHeight="1">
      <c r="A33" s="3" t="inlineStr">
        <is>
          <t>FUNC-DK06</t>
        </is>
      </c>
      <c r="B33" s="3" t="inlineStr">
        <is>
          <t>Mật khẩu không đủ độ mạnh (ít hơn 8 ký tự)</t>
        </is>
      </c>
      <c r="C33" s="3" t="inlineStr">
        <is>
          <t>1. Nhập mật khẩu ít hơn 8 ký tự
2. Click "Đăng Ký"</t>
        </is>
      </c>
      <c r="D33" s="3" t="inlineStr">
        <is>
          <t>Truy cập màn hình Đăng Ký</t>
        </is>
      </c>
      <c r="E33" s="3" t="inlineStr">
        <is>
          <t>Thông báo lỗi: "Mật khẩu phải có ít nhất 8 ký tự"</t>
        </is>
      </c>
      <c r="F33" s="3" t="inlineStr">
        <is>
          <t>Thông báo lỗi: "Mật khẩu phải có ít nhất 8 ký tự"</t>
        </is>
      </c>
      <c r="G33" s="3" t="inlineStr">
        <is>
          <t>Passed</t>
        </is>
      </c>
      <c r="H33" s="3" t="inlineStr">
        <is>
          <t>25-04-2026</t>
        </is>
      </c>
      <c r="I33" s="3" t="inlineStr">
        <is>
          <t>Hiếu</t>
        </is>
      </c>
      <c r="J33" s="3" t="n"/>
      <c r="K33" s="3" t="n"/>
      <c r="L33" s="3" t="n"/>
      <c r="M33" s="3" t="n"/>
    </row>
    <row r="34" ht="82.5" customHeight="1">
      <c r="A34" s="3" t="inlineStr">
        <is>
          <t>FUNC-DK07</t>
        </is>
      </c>
      <c r="B34" s="3" t="inlineStr">
        <is>
          <t>"Nhập lại mật khẩu" không khớp với "Mật khẩu"</t>
        </is>
      </c>
      <c r="C34" s="3" t="inlineStr">
        <is>
          <t>1. Nhập mật khẩu
2. Nhập lại mật khẩu khác
3. Click "Đăng Ký"</t>
        </is>
      </c>
      <c r="D34" s="3" t="inlineStr">
        <is>
          <t>Truy cập màn hình Đăng Ký</t>
        </is>
      </c>
      <c r="E34" s="3" t="inlineStr">
        <is>
          <t>Thông báo lỗi: "Mật khẩu xác nhận không khớp"</t>
        </is>
      </c>
      <c r="F34" s="3" t="inlineStr">
        <is>
          <t>Thông báo lỗi: "Mật khẩu xác nhận không khớp"</t>
        </is>
      </c>
      <c r="G34" s="3" t="inlineStr">
        <is>
          <t>Passed</t>
        </is>
      </c>
      <c r="H34" s="3" t="inlineStr">
        <is>
          <t>25-04-2026</t>
        </is>
      </c>
      <c r="I34" s="3" t="inlineStr">
        <is>
          <t>Hiếu</t>
        </is>
      </c>
      <c r="J34" s="3" t="n"/>
      <c r="K34" s="3" t="n"/>
      <c r="L34" s="3" t="n"/>
      <c r="M34" s="3" t="n"/>
    </row>
    <row r="35" ht="82.5" customHeight="1">
      <c r="A35" s="3" t="inlineStr">
        <is>
          <t>FUNC-DK08</t>
        </is>
      </c>
      <c r="B35" s="3" t="inlineStr">
        <is>
          <t>Để trống tất cả các trường và click Đăng Ký</t>
        </is>
      </c>
      <c r="C35" s="3" t="inlineStr">
        <is>
          <t>1. Không nhập bất kỳ dữ liệu nào
2. Click "Đăng Ký"</t>
        </is>
      </c>
      <c r="D35" s="3" t="inlineStr">
        <is>
          <t>Truy cập màn hình Đăng Ký</t>
        </is>
      </c>
      <c r="E35" s="3" t="inlineStr">
        <is>
          <t>Hệ thống thông báo lỗi trên tất cả các trường bắt buộc</t>
        </is>
      </c>
      <c r="F35" s="3" t="inlineStr">
        <is>
          <t>Hệ thống thông báo lỗi trên tất cả các trường bắt buộc</t>
        </is>
      </c>
      <c r="G35" s="3" t="inlineStr">
        <is>
          <t>Passed</t>
        </is>
      </c>
      <c r="H35" s="3" t="inlineStr">
        <is>
          <t>25-04-2026</t>
        </is>
      </c>
      <c r="I35" s="3" t="inlineStr">
        <is>
          <t>Hiếu</t>
        </is>
      </c>
      <c r="J35" s="3" t="n"/>
      <c r="K35" s="3" t="n"/>
      <c r="L35" s="3" t="n"/>
      <c r="M35" s="3" t="n"/>
    </row>
    <row r="36" ht="82.5" customHeight="1">
      <c r="A36" s="3" t="inlineStr">
        <is>
          <t>FUNC-DK09</t>
        </is>
      </c>
      <c r="B36" s="3" t="inlineStr">
        <is>
          <t>Đăng ký qua Google thành công</t>
        </is>
      </c>
      <c r="C36" s="3" t="inlineStr">
        <is>
          <t>1. Click nút "Google"
2. Chọn tài khoản Google hợp lệ
3. Xác nhận quyền truy cập</t>
        </is>
      </c>
      <c r="D36" s="3" t="inlineStr">
        <is>
          <t>Có tài khoản Google hợp lệ</t>
        </is>
      </c>
      <c r="E36" s="3" t="inlineStr">
        <is>
          <t>Đăng ký/Đăng nhập thành công qua Google, chuyển sang màn hình chính</t>
        </is>
      </c>
      <c r="F36" s="3" t="inlineStr">
        <is>
          <t>Đăng ký/Đăng nhập thành công qua Google, chuyển sang màn hình chính</t>
        </is>
      </c>
      <c r="G36" s="3" t="inlineStr">
        <is>
          <t>Passed</t>
        </is>
      </c>
      <c r="H36" s="3" t="inlineStr">
        <is>
          <t>25-04-2026</t>
        </is>
      </c>
      <c r="I36" s="3" t="inlineStr">
        <is>
          <t>Hiếu</t>
        </is>
      </c>
      <c r="J36" s="3" t="n"/>
      <c r="K36" s="3" t="n"/>
      <c r="L36" s="3" t="n"/>
      <c r="M36" s="3" t="n"/>
    </row>
    <row r="37" ht="82.5" customHeight="1">
      <c r="A37" s="3" t="inlineStr">
        <is>
          <t>FUNC-DK10</t>
        </is>
      </c>
      <c r="B37" s="3" t="inlineStr">
        <is>
          <t>Đăng ký qua Facebook thành công</t>
        </is>
      </c>
      <c r="C37" s="3" t="inlineStr">
        <is>
          <t>1. Click nút "Facebook"
2. Chọn tài khoản Facebook hợp lệ
3. Xác nhận quyền truy cập</t>
        </is>
      </c>
      <c r="D37" s="3" t="inlineStr">
        <is>
          <t>Có tài khoản Facebook hợp lệ</t>
        </is>
      </c>
      <c r="E37" s="3" t="inlineStr">
        <is>
          <t>Đăng ký/Đăng nhập thành công qua Facebook, chuyển sang màn hình chính</t>
        </is>
      </c>
      <c r="F37" s="3" t="inlineStr">
        <is>
          <t>Đăng ký/Đăng nhập thành công qua Facebook, chuyển sang màn hình chính</t>
        </is>
      </c>
      <c r="G37" s="3" t="inlineStr">
        <is>
          <t>Passed</t>
        </is>
      </c>
      <c r="H37" s="3" t="inlineStr">
        <is>
          <t>25-04-2026</t>
        </is>
      </c>
      <c r="I37" s="3" t="inlineStr">
        <is>
          <t>Hiếu</t>
        </is>
      </c>
      <c r="J37" s="3" t="n"/>
      <c r="K37" s="3" t="n"/>
      <c r="L37" s="3" t="n"/>
      <c r="M37" s="3" t="n"/>
    </row>
    <row r="38" ht="82.5" customHeight="1">
      <c r="A38" s="3" t="inlineStr">
        <is>
          <t>FUNC-DK11</t>
        </is>
      </c>
      <c r="B38" s="3" t="inlineStr">
        <is>
          <t>Click link "Đăng nhập" chuyển về màn hình đăng nhập</t>
        </is>
      </c>
      <c r="C38" s="3" t="inlineStr">
        <is>
          <t>1. Click vào link "Đăng nhập" ở cuối trang</t>
        </is>
      </c>
      <c r="D38" s="3" t="inlineStr">
        <is>
          <t>Truy cập màn hình Đăng Ký</t>
        </is>
      </c>
      <c r="E38" s="3" t="inlineStr">
        <is>
          <t>Chuyển về màn hình Đăng Nhập thành công</t>
        </is>
      </c>
      <c r="F38" s="3" t="inlineStr">
        <is>
          <t>Chuyển về màn hình Đăng Nhập thành công</t>
        </is>
      </c>
      <c r="G38" s="3" t="inlineStr">
        <is>
          <t>Passed</t>
        </is>
      </c>
      <c r="H38" s="3" t="inlineStr">
        <is>
          <t>25-04-2026</t>
        </is>
      </c>
      <c r="I38" s="3" t="inlineStr">
        <is>
          <t>Hiếu</t>
        </is>
      </c>
      <c r="J38" s="3" t="n"/>
      <c r="K38" s="3" t="n"/>
      <c r="L38" s="3" t="n"/>
      <c r="M38" s="3" t="n"/>
    </row>
  </sheetData>
  <mergeCells count="15">
    <mergeCell ref="F12:F14"/>
    <mergeCell ref="A12:A14"/>
    <mergeCell ref="M12:M14"/>
    <mergeCell ref="C12:C14"/>
    <mergeCell ref="B2:F2"/>
    <mergeCell ref="A27:M27"/>
    <mergeCell ref="D12:D14"/>
    <mergeCell ref="B12:B14"/>
    <mergeCell ref="G13:I13"/>
    <mergeCell ref="J13:L13"/>
    <mergeCell ref="E12:E14"/>
    <mergeCell ref="B1:F1"/>
    <mergeCell ref="G12:I12"/>
    <mergeCell ref="J12:L12"/>
    <mergeCell ref="A15:M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9"/>
  <sheetViews>
    <sheetView tabSelected="1" zoomScale="70" zoomScaleNormal="70" workbookViewId="0">
      <selection activeCell="D9" sqref="D9"/>
    </sheetView>
  </sheetViews>
  <sheetFormatPr baseColWidth="8" defaultRowHeight="13.5"/>
  <cols>
    <col width="15" customWidth="1" min="1" max="1"/>
    <col width="30" customWidth="1" min="2" max="2"/>
    <col width="35" customWidth="1" min="3" max="3"/>
    <col width="25" customWidth="1" min="4" max="4"/>
    <col width="35" customWidth="1" min="5" max="6"/>
    <col width="12" customWidth="1" min="7" max="7"/>
    <col width="13" customWidth="1" min="8" max="8"/>
    <col width="14" customWidth="1" min="9" max="9"/>
    <col width="12" customWidth="1" min="10" max="10"/>
    <col width="13" customWidth="1" min="11" max="11"/>
    <col width="14" customWidth="1" min="12" max="12"/>
    <col width="15" customWidth="1" min="13" max="13"/>
  </cols>
  <sheetData>
    <row r="1" ht="33" customHeight="1">
      <c r="A1" s="1" t="inlineStr">
        <is>
          <t>Project Name</t>
        </is>
      </c>
      <c r="B1" s="10" t="inlineStr">
        <is>
          <t>Thiết kế và phát triển hệ thống điều phối cứu hộ thông minh trong thiên tai dựa trên phân tích mức độ khẩn cấp</t>
        </is>
      </c>
      <c r="C1" s="11" t="n"/>
      <c r="D1" s="11" t="n"/>
      <c r="E1" s="11" t="n"/>
      <c r="F1" s="12" t="n"/>
    </row>
    <row r="2" ht="33" customHeight="1">
      <c r="A2" s="1" t="inlineStr">
        <is>
          <t>Module Code</t>
        </is>
      </c>
      <c r="B2" s="10" t="inlineStr">
        <is>
          <t>Đăng Nhập</t>
        </is>
      </c>
      <c r="C2" s="11" t="n"/>
      <c r="D2" s="11" t="n"/>
      <c r="E2" s="11" t="n"/>
      <c r="F2" s="12" t="n"/>
    </row>
    <row r="3" ht="66" customHeight="1">
      <c r="A3" s="15" t="n"/>
      <c r="B3" s="7" t="inlineStr">
        <is>
          <t>Hoàn thành</t>
        </is>
      </c>
      <c r="C3" s="7" t="inlineStr">
        <is>
          <t>Lỗi</t>
        </is>
      </c>
      <c r="D3" s="7" t="inlineStr">
        <is>
          <t>Chưa kiểm tra</t>
        </is>
      </c>
      <c r="E3" s="7" t="inlineStr">
        <is>
          <t>Bị chặn</t>
        </is>
      </c>
      <c r="F3" s="7" t="inlineStr">
        <is>
          <t>Tổng số trường hợp thử nghiệm</t>
        </is>
      </c>
    </row>
    <row r="4" ht="15" customHeight="1">
      <c r="A4" s="5" t="inlineStr">
        <is>
          <t>Round 1</t>
        </is>
      </c>
      <c r="B4" s="6">
        <f>COUNTIF(G16:G40,"Passed")</f>
        <v/>
      </c>
      <c r="C4" s="6">
        <f>COUNTIF(G16:G40,"Failed")</f>
        <v/>
      </c>
      <c r="D4" s="6">
        <f>COUNTIF(G16:G40,"Untested")</f>
        <v/>
      </c>
      <c r="E4" s="6">
        <f>COUNTIF(G16:G40,"Blocked")</f>
        <v/>
      </c>
      <c r="F4" s="6">
        <f>COUNTA(A16:A40)</f>
        <v/>
      </c>
    </row>
    <row r="5" ht="27.75" customHeight="1">
      <c r="A5" s="5" t="inlineStr">
        <is>
          <t>Round 2</t>
        </is>
      </c>
      <c r="B5" s="6">
        <f>COUNTIF(J16:J40,"Passed")</f>
        <v/>
      </c>
      <c r="C5" s="6">
        <f>COUNTIF(J16:J40,"Failed")</f>
        <v/>
      </c>
      <c r="D5" s="6">
        <f>COUNTIF(J16:J40,"Untested")</f>
        <v/>
      </c>
      <c r="E5" s="6">
        <f>COUNTIF(J16:J40,"Blocked")</f>
        <v/>
      </c>
      <c r="F5" s="6">
        <f>COUNTA(A16:A40)</f>
        <v/>
      </c>
    </row>
    <row r="6" ht="27" customHeight="1"/>
    <row r="7" ht="27" customHeight="1"/>
    <row r="8" ht="27" customHeight="1"/>
    <row r="9" ht="27" customHeight="1"/>
    <row r="10" ht="27" customHeight="1"/>
    <row r="11" ht="27" customHeight="1"/>
    <row r="12" ht="16.5" customHeight="1">
      <c r="A12" s="7" t="inlineStr">
        <is>
          <t>Test Case ID</t>
        </is>
      </c>
      <c r="B12" s="7" t="inlineStr">
        <is>
          <t>Mô tả</t>
        </is>
      </c>
      <c r="C12" s="7" t="inlineStr">
        <is>
          <t>Hành động</t>
        </is>
      </c>
      <c r="D12" s="7" t="inlineStr">
        <is>
          <t>Điều kiện tiên quyết</t>
        </is>
      </c>
      <c r="E12" s="7" t="inlineStr">
        <is>
          <t>Kết quả mong đợi</t>
        </is>
      </c>
      <c r="F12" s="7" t="inlineStr">
        <is>
          <t>Kết quả thực tế</t>
        </is>
      </c>
      <c r="G12" s="7" t="inlineStr">
        <is>
          <t>Kết quả</t>
        </is>
      </c>
      <c r="H12" s="11" t="n"/>
      <c r="I12" s="12" t="n"/>
      <c r="J12" s="7" t="inlineStr">
        <is>
          <t>Kết quả</t>
        </is>
      </c>
      <c r="K12" s="11" t="n"/>
      <c r="L12" s="12" t="n"/>
      <c r="M12" s="7" t="inlineStr">
        <is>
          <t>Chú thích</t>
        </is>
      </c>
    </row>
    <row r="13" ht="16.5" customHeight="1">
      <c r="A13" s="8" t="n"/>
      <c r="B13" s="8" t="n"/>
      <c r="C13" s="8" t="n"/>
      <c r="D13" s="8" t="n"/>
      <c r="E13" s="8" t="n"/>
      <c r="F13" s="8" t="n"/>
      <c r="G13" s="7" t="inlineStr">
        <is>
          <t>Vòng 1</t>
        </is>
      </c>
      <c r="H13" s="11" t="n"/>
      <c r="I13" s="12" t="n"/>
      <c r="J13" s="7" t="inlineStr">
        <is>
          <t>Vòng 2</t>
        </is>
      </c>
      <c r="K13" s="11" t="n"/>
      <c r="L13" s="12" t="n"/>
      <c r="M13" s="8" t="n"/>
    </row>
    <row r="14" ht="33" customHeight="1">
      <c r="A14" s="9" t="n"/>
      <c r="B14" s="9" t="n"/>
      <c r="C14" s="9" t="n"/>
      <c r="D14" s="9" t="n"/>
      <c r="E14" s="9" t="n"/>
      <c r="F14" s="9" t="n"/>
      <c r="G14" s="7" t="inlineStr">
        <is>
          <t>Trạng thái</t>
        </is>
      </c>
      <c r="H14" s="7" t="inlineStr">
        <is>
          <t>Ngày kiểm tra</t>
        </is>
      </c>
      <c r="I14" s="7" t="inlineStr">
        <is>
          <t>Người kiểm tra</t>
        </is>
      </c>
      <c r="J14" s="7" t="inlineStr">
        <is>
          <t>Trạng thái</t>
        </is>
      </c>
      <c r="K14" s="7" t="inlineStr">
        <is>
          <t>Ngày kiểm tra</t>
        </is>
      </c>
      <c r="L14" s="7" t="inlineStr">
        <is>
          <t>Người kiểm tra</t>
        </is>
      </c>
      <c r="M14" s="9" t="n"/>
    </row>
    <row r="15" ht="16.5" customHeight="1">
      <c r="A15" s="13" t="inlineStr">
        <is>
          <t>GUI_SHOW Trang đăng nhập</t>
        </is>
      </c>
      <c r="B15" s="11" t="n"/>
      <c r="C15" s="11" t="n"/>
      <c r="D15" s="11" t="n"/>
      <c r="E15" s="11" t="n"/>
      <c r="F15" s="11" t="n"/>
      <c r="G15" s="11" t="n"/>
      <c r="H15" s="11" t="n"/>
      <c r="I15" s="11" t="n"/>
      <c r="J15" s="11" t="n"/>
      <c r="K15" s="11" t="n"/>
      <c r="L15" s="11" t="n"/>
      <c r="M15" s="12" t="n"/>
    </row>
    <row r="16" ht="66" customHeight="1">
      <c r="A16" s="3" t="inlineStr">
        <is>
          <t>GUI-DN01</t>
        </is>
      </c>
      <c r="B16" s="3" t="inlineStr">
        <is>
          <t>[GR29 SOS] Title Label</t>
        </is>
      </c>
      <c r="C16" s="3" t="n"/>
      <c r="D16" s="3" t="n"/>
      <c r="E16" s="3" t="inlineStr">
        <is>
          <t>-Title: "GR29 SOS"
-Text color: dark/blue
-Status: enable</t>
        </is>
      </c>
      <c r="F16" s="3" t="inlineStr">
        <is>
          <t>-Title: "GR29 SOS"
-Text color: dark/blue
-Status: enable</t>
        </is>
      </c>
      <c r="G16" s="3" t="inlineStr">
        <is>
          <t>Passed</t>
        </is>
      </c>
      <c r="H16" s="17" t="inlineStr">
        <is>
          <t>25-04-2026</t>
        </is>
      </c>
      <c r="I16" s="3" t="inlineStr">
        <is>
          <t>Hiếu</t>
        </is>
      </c>
      <c r="J16" s="3" t="n"/>
      <c r="K16" s="3" t="n"/>
      <c r="L16" s="3" t="n"/>
      <c r="M16" s="3" t="n"/>
    </row>
    <row r="17" ht="66" customHeight="1">
      <c r="A17" s="3" t="inlineStr">
        <is>
          <t>GUI-DN02</t>
        </is>
      </c>
      <c r="B17" s="3" t="inlineStr">
        <is>
          <t>[Chào mừng bạn] Subtitle Label</t>
        </is>
      </c>
      <c r="C17" s="3" t="n"/>
      <c r="D17" s="3" t="n"/>
      <c r="E17" s="3" t="inlineStr">
        <is>
          <t>-Label: "Chào mừng bạn"
-Text color: gray
-Status: enable</t>
        </is>
      </c>
      <c r="F17" s="3" t="inlineStr">
        <is>
          <t>-Label: "Chào mừng bạn"
-Text color: gray
-Status: enable</t>
        </is>
      </c>
      <c r="G17" s="3" t="inlineStr">
        <is>
          <t>Passed</t>
        </is>
      </c>
      <c r="H17" s="3" t="inlineStr">
        <is>
          <t>25-04-2026</t>
        </is>
      </c>
      <c r="I17" s="3" t="inlineStr">
        <is>
          <t>Hiếu</t>
        </is>
      </c>
      <c r="J17" s="3" t="n"/>
      <c r="K17" s="3" t="n"/>
      <c r="L17" s="3" t="n"/>
      <c r="M17" s="3" t="n"/>
    </row>
    <row r="18" ht="66" customHeight="1">
      <c r="A18" s="3" t="inlineStr">
        <is>
          <t>GUI-DN03</t>
        </is>
      </c>
      <c r="B18" s="3" t="inlineStr">
        <is>
          <t>[GMAIL] Label &amp; Textbox</t>
        </is>
      </c>
      <c r="C18" s="3" t="n"/>
      <c r="D18" s="3" t="n"/>
      <c r="E18" s="3" t="inlineStr">
        <is>
          <t>-Label: "GMAIL"
-Placeholder: "Nhập gmail của bạn"
-Icon mail
-Status: enable</t>
        </is>
      </c>
      <c r="F18" s="3" t="inlineStr">
        <is>
          <t>-Label: "GMAIL"
-Placeholder: "Nhập gmail của bạn"
-Icon mail
-Status: enable</t>
        </is>
      </c>
      <c r="G18" s="3" t="inlineStr">
        <is>
          <t>Passed</t>
        </is>
      </c>
      <c r="H18" s="3" t="inlineStr">
        <is>
          <t>25-04-2026</t>
        </is>
      </c>
      <c r="I18" s="3" t="inlineStr">
        <is>
          <t>Hiếu</t>
        </is>
      </c>
      <c r="J18" s="3" t="n"/>
      <c r="K18" s="3" t="n"/>
      <c r="L18" s="3" t="n"/>
      <c r="M18" s="3" t="n"/>
    </row>
    <row r="19" ht="66" customHeight="1">
      <c r="A19" s="3" t="inlineStr">
        <is>
          <t>GUI-DN04</t>
        </is>
      </c>
      <c r="B19" s="3" t="inlineStr">
        <is>
          <t>[MẬT KHẨU] Label &amp; Textbox</t>
        </is>
      </c>
      <c r="C19" s="3" t="n"/>
      <c r="D19" s="3" t="n"/>
      <c r="E19" s="3" t="inlineStr">
        <is>
          <t>-Label: "MẬT KHẨU"
-Placeholder: "Nhập mật khẩu"
-Icon khóa
-Status: enable</t>
        </is>
      </c>
      <c r="F19" s="3" t="inlineStr">
        <is>
          <t>-Label: "MẬT KHẨU"
-Placeholder: "Nhập mật khẩu"
-Icon khóa
-Status: enable</t>
        </is>
      </c>
      <c r="G19" s="3" t="inlineStr">
        <is>
          <t>Passed</t>
        </is>
      </c>
      <c r="H19" s="17" t="inlineStr">
        <is>
          <t>25-04-2026</t>
        </is>
      </c>
      <c r="I19" s="3" t="inlineStr">
        <is>
          <t>Hiếu</t>
        </is>
      </c>
      <c r="J19" s="3" t="n"/>
      <c r="K19" s="3" t="n"/>
      <c r="L19" s="3" t="n"/>
      <c r="M19" s="3" t="n"/>
    </row>
    <row r="20" ht="66" customHeight="1">
      <c r="A20" s="3" t="inlineStr">
        <is>
          <t>GUI-DN05</t>
        </is>
      </c>
      <c r="B20" s="3" t="inlineStr">
        <is>
          <t>[Ghi nhớ đăng nhập] Checkbox</t>
        </is>
      </c>
      <c r="C20" s="3" t="n"/>
      <c r="D20" s="3" t="n"/>
      <c r="E20" s="3" t="inlineStr">
        <is>
          <t>-Text: "Ghi nhớ đăng nhập"
-Checkbox có thể tích/bỏ tích
-Status: enable</t>
        </is>
      </c>
      <c r="F20" s="3" t="inlineStr">
        <is>
          <t>-Text: "Ghi nhớ đăng nhập"
-Checkbox có thể tích/bỏ tích
-Status: enable</t>
        </is>
      </c>
      <c r="G20" s="3" t="inlineStr">
        <is>
          <t>Passed</t>
        </is>
      </c>
      <c r="H20" s="3" t="inlineStr">
        <is>
          <t>25-04-2026</t>
        </is>
      </c>
      <c r="I20" s="3" t="inlineStr">
        <is>
          <t>Hiếu</t>
        </is>
      </c>
      <c r="J20" s="3" t="n"/>
      <c r="K20" s="3" t="n"/>
      <c r="L20" s="3" t="n"/>
      <c r="M20" s="3" t="n"/>
    </row>
    <row r="21" ht="66" customHeight="1">
      <c r="A21" s="3" t="inlineStr">
        <is>
          <t>GUI-DN06</t>
        </is>
      </c>
      <c r="B21" s="3" t="inlineStr">
        <is>
          <t>[Quên mật khẩu?] Link</t>
        </is>
      </c>
      <c r="C21" s="3" t="n"/>
      <c r="D21" s="3" t="n"/>
      <c r="E21" s="3" t="inlineStr">
        <is>
          <t>-Text: "Quên mật khẩu?"
-Text color: blue
-Status: enable</t>
        </is>
      </c>
      <c r="F21" s="3" t="inlineStr">
        <is>
          <t>-Text: "Quên mật khẩu?"
-Text color: blue
-Status: enable</t>
        </is>
      </c>
      <c r="G21" s="3" t="inlineStr">
        <is>
          <t>Passed</t>
        </is>
      </c>
      <c r="H21" s="3" t="inlineStr">
        <is>
          <t>25-04-2026</t>
        </is>
      </c>
      <c r="I21" s="3" t="inlineStr">
        <is>
          <t>Hiếu</t>
        </is>
      </c>
      <c r="J21" s="3" t="n"/>
      <c r="K21" s="3" t="n"/>
      <c r="L21" s="3" t="n"/>
      <c r="M21" s="3" t="n"/>
    </row>
    <row r="22" ht="66" customHeight="1">
      <c r="A22" s="3" t="inlineStr">
        <is>
          <t>GUI-DN07</t>
        </is>
      </c>
      <c r="B22" s="3" t="inlineStr">
        <is>
          <t>[Đăng Nhập] Button</t>
        </is>
      </c>
      <c r="C22" s="3" t="n"/>
      <c r="D22" s="3" t="n"/>
      <c r="E22" s="3" t="inlineStr">
        <is>
          <t>-Text: "Đăng Nhập"
-Background: blue
-Text color: white
-Status: enable</t>
        </is>
      </c>
      <c r="F22" s="3" t="inlineStr">
        <is>
          <t>-Text: "Đăng Nhập"
-Background: blue
-Text color: white
-Status: enable</t>
        </is>
      </c>
      <c r="G22" s="3" t="inlineStr">
        <is>
          <t>Passed</t>
        </is>
      </c>
      <c r="H22" s="17" t="inlineStr">
        <is>
          <t>25-04-2026</t>
        </is>
      </c>
      <c r="I22" s="3" t="inlineStr">
        <is>
          <t>Hiếu</t>
        </is>
      </c>
      <c r="J22" s="3" t="n"/>
      <c r="K22" s="3" t="n"/>
      <c r="L22" s="3" t="n"/>
      <c r="M22" s="3" t="n"/>
    </row>
    <row r="23" ht="66" customHeight="1">
      <c r="A23" s="3" t="inlineStr">
        <is>
          <t>GUI-DN08</t>
        </is>
      </c>
      <c r="B23" s="3" t="inlineStr">
        <is>
          <t>[Đăng nhập qua mạng xã hội] Label</t>
        </is>
      </c>
      <c r="C23" s="3" t="n"/>
      <c r="D23" s="3" t="n"/>
      <c r="E23" s="3" t="inlineStr">
        <is>
          <t>-Label: "Đăng nhập qua mạng xã hội"
-Status: enable</t>
        </is>
      </c>
      <c r="F23" s="3" t="inlineStr">
        <is>
          <t>-Label: "Đăng nhập qua mạng xã hội"
-Status: enable</t>
        </is>
      </c>
      <c r="G23" s="3" t="inlineStr">
        <is>
          <t>Passed</t>
        </is>
      </c>
      <c r="H23" s="3" t="inlineStr">
        <is>
          <t>25-04-2026</t>
        </is>
      </c>
      <c r="I23" s="3" t="inlineStr">
        <is>
          <t>Hiếu</t>
        </is>
      </c>
      <c r="J23" s="3" t="n"/>
      <c r="K23" s="3" t="n"/>
      <c r="L23" s="3" t="n"/>
      <c r="M23" s="3" t="n"/>
    </row>
    <row r="24" ht="66" customHeight="1">
      <c r="A24" s="3" t="inlineStr">
        <is>
          <t>GUI-DN09</t>
        </is>
      </c>
      <c r="B24" s="3" t="inlineStr">
        <is>
          <t>[Google] Button</t>
        </is>
      </c>
      <c r="C24" s="3" t="n"/>
      <c r="D24" s="3" t="n"/>
      <c r="E24" s="3" t="inlineStr">
        <is>
          <t>-Icon Google
-Text: "Google"
-Status: enable</t>
        </is>
      </c>
      <c r="F24" s="3" t="inlineStr">
        <is>
          <t>-Icon Google
-Text: "Google"
-Status: enable</t>
        </is>
      </c>
      <c r="G24" s="3" t="inlineStr">
        <is>
          <t>Passed</t>
        </is>
      </c>
      <c r="H24" s="3" t="inlineStr">
        <is>
          <t>25-04-2026</t>
        </is>
      </c>
      <c r="I24" s="3" t="inlineStr">
        <is>
          <t>Hiếu</t>
        </is>
      </c>
      <c r="J24" s="3" t="n"/>
      <c r="K24" s="3" t="n"/>
      <c r="L24" s="3" t="n"/>
      <c r="M24" s="3" t="n"/>
    </row>
    <row r="25" ht="66" customHeight="1">
      <c r="A25" s="3" t="inlineStr">
        <is>
          <t>GUI-DN10</t>
        </is>
      </c>
      <c r="B25" s="3" t="inlineStr">
        <is>
          <t>[Facebook] Button</t>
        </is>
      </c>
      <c r="C25" s="3" t="n"/>
      <c r="D25" s="3" t="n"/>
      <c r="E25" s="3" t="inlineStr">
        <is>
          <t>-Icon Facebook
-Text: "Facebook"
-Status: enable</t>
        </is>
      </c>
      <c r="F25" s="3" t="inlineStr">
        <is>
          <t>-Icon Facebook
-Text: "Facebook"
-Status: enable</t>
        </is>
      </c>
      <c r="G25" s="3" t="inlineStr">
        <is>
          <t>Passed</t>
        </is>
      </c>
      <c r="H25" s="17" t="inlineStr">
        <is>
          <t>25-04-2026</t>
        </is>
      </c>
      <c r="I25" s="3" t="inlineStr">
        <is>
          <t>Hiếu</t>
        </is>
      </c>
      <c r="J25" s="3" t="n"/>
      <c r="K25" s="3" t="n"/>
      <c r="L25" s="3" t="n"/>
      <c r="M25" s="3" t="n"/>
    </row>
    <row r="26" ht="66" customHeight="1">
      <c r="A26" s="3" t="inlineStr">
        <is>
          <t>GUI-DN11</t>
        </is>
      </c>
      <c r="B26" s="3" t="inlineStr">
        <is>
          <t>[Chưa có tài khoản? Đăng ký ngay] Link</t>
        </is>
      </c>
      <c r="C26" s="3" t="n"/>
      <c r="D26" s="3" t="n"/>
      <c r="E26" s="3" t="inlineStr">
        <is>
          <t>-Text: "Chưa có tài khoản? Đăng ký ngay"
-"Đăng ký ngay" màu xanh có thể click
-Status: enable</t>
        </is>
      </c>
      <c r="F26" s="3" t="inlineStr">
        <is>
          <t>-Text: "Chưa có tài khoản? Đăng ký ngay"
-"Đăng ký ngay" màu xanh có thể click
-Status: enable</t>
        </is>
      </c>
      <c r="G26" s="3" t="inlineStr">
        <is>
          <t>Passed</t>
        </is>
      </c>
      <c r="H26" s="3" t="inlineStr">
        <is>
          <t>25-04-2026</t>
        </is>
      </c>
      <c r="I26" s="3" t="inlineStr">
        <is>
          <t>Hiếu</t>
        </is>
      </c>
      <c r="J26" s="3" t="n"/>
      <c r="K26" s="3" t="n"/>
      <c r="L26" s="3" t="n"/>
      <c r="M26" s="3" t="n"/>
    </row>
    <row r="27" ht="16.5" customHeight="1">
      <c r="A27" s="13" t="inlineStr">
        <is>
          <t>FUNCTION_SHOW Trang đăng nhập</t>
        </is>
      </c>
      <c r="B27" s="11" t="n"/>
      <c r="C27" s="11" t="n"/>
      <c r="D27" s="11" t="n"/>
      <c r="E27" s="11" t="n"/>
      <c r="F27" s="11" t="n"/>
      <c r="G27" s="11" t="n"/>
      <c r="H27" s="11" t="n"/>
      <c r="I27" s="11" t="n"/>
      <c r="J27" s="11" t="n"/>
      <c r="K27" s="11" t="n"/>
      <c r="L27" s="11" t="n"/>
      <c r="M27" s="12" t="n"/>
    </row>
    <row r="28" ht="82.5" customHeight="1">
      <c r="A28" s="3" t="inlineStr">
        <is>
          <t>FUNC-DN01</t>
        </is>
      </c>
      <c r="B28" s="3" t="inlineStr">
        <is>
          <t>Đăng nhập thành công với Gmail và mật khẩu hợp lệ</t>
        </is>
      </c>
      <c r="C28" s="3" t="inlineStr">
        <is>
          <t>1. Nhập Gmail hợp lệ
2. Nhập mật khẩu đúng
3. Click "Đăng Nhập"</t>
        </is>
      </c>
      <c r="D28" s="3" t="inlineStr">
        <is>
          <t>Tài khoản đã tồn tại trong hệ thống</t>
        </is>
      </c>
      <c r="E28" s="3" t="inlineStr">
        <is>
          <t>Đăng nhập thành công, chuyển sang màn hình chính</t>
        </is>
      </c>
      <c r="F28" s="3" t="inlineStr">
        <is>
          <t>Đăng nhập thành công, chuyển sang màn hình chính</t>
        </is>
      </c>
      <c r="G28" s="3" t="inlineStr">
        <is>
          <t>Passed</t>
        </is>
      </c>
      <c r="H28" s="3" t="inlineStr">
        <is>
          <t>25-04-2026</t>
        </is>
      </c>
      <c r="I28" s="3" t="inlineStr">
        <is>
          <t>Hiếu</t>
        </is>
      </c>
      <c r="J28" s="3" t="n"/>
      <c r="K28" s="3" t="n"/>
      <c r="L28" s="3" t="n"/>
      <c r="M28" s="3" t="n"/>
    </row>
    <row r="29" ht="82.5" customHeight="1">
      <c r="A29" s="3" t="inlineStr">
        <is>
          <t>FUNC-DN02</t>
        </is>
      </c>
      <c r="B29" s="3" t="inlineStr">
        <is>
          <t>Đăng nhập thất bại khi nhập sai mật khẩu</t>
        </is>
      </c>
      <c r="C29" s="3" t="inlineStr">
        <is>
          <t>1. Nhập Gmail hợp lệ
2. Nhập mật khẩu sai
3. Click "Đăng Nhập"</t>
        </is>
      </c>
      <c r="D29" s="3" t="inlineStr">
        <is>
          <t>Tài khoản đã tồn tại trong hệ thống</t>
        </is>
      </c>
      <c r="E29" s="3" t="inlineStr">
        <is>
          <t>Thông báo lỗi: "Tên đăng nhập hoặc mật khẩu không đúng, vui lòng nhập lại!"</t>
        </is>
      </c>
      <c r="F29" s="3" t="inlineStr">
        <is>
          <t>Thông báo lỗi: "Tên đăng nhập hoặc mật khẩu không đúng, vui lòng nhập lại!"</t>
        </is>
      </c>
      <c r="G29" s="3" t="inlineStr">
        <is>
          <t>Passed</t>
        </is>
      </c>
      <c r="H29" s="3" t="inlineStr">
        <is>
          <t>25-04-2026</t>
        </is>
      </c>
      <c r="I29" s="3" t="inlineStr">
        <is>
          <t>Hiếu</t>
        </is>
      </c>
      <c r="J29" s="3" t="n"/>
      <c r="K29" s="3" t="n"/>
      <c r="L29" s="3" t="n"/>
      <c r="M29" s="3" t="n"/>
    </row>
    <row r="30" ht="82.5" customHeight="1">
      <c r="A30" s="3" t="inlineStr">
        <is>
          <t>FUNC-DN03</t>
        </is>
      </c>
      <c r="B30" s="3" t="inlineStr">
        <is>
          <t>Đăng nhập với Gmail không tồn tại trong hệ thống</t>
        </is>
      </c>
      <c r="C30" s="3" t="inlineStr">
        <is>
          <t>1. Nhập Gmail chưa đăng ký
2. Nhập mật khẩu bất kỳ
3. Click "Đăng Nhập"</t>
        </is>
      </c>
      <c r="D30" s="3" t="inlineStr">
        <is>
          <t>Truy cập màn hình Đăng Nhập</t>
        </is>
      </c>
      <c r="E30" s="3" t="inlineStr">
        <is>
          <t>Thông báo lỗi: "Tài khoản không tồn tại"</t>
        </is>
      </c>
      <c r="F30" s="3" t="inlineStr">
        <is>
          <t>Thông báo lỗi: "Tài khoản không tồn tại"</t>
        </is>
      </c>
      <c r="G30" s="3" t="inlineStr">
        <is>
          <t>Passed</t>
        </is>
      </c>
      <c r="H30" s="3" t="inlineStr">
        <is>
          <t>25-04-2026</t>
        </is>
      </c>
      <c r="I30" s="3" t="inlineStr">
        <is>
          <t>Hiếu</t>
        </is>
      </c>
      <c r="J30" s="3" t="n"/>
      <c r="K30" s="3" t="n"/>
      <c r="L30" s="3" t="n"/>
      <c r="M30" s="3" t="n"/>
    </row>
    <row r="31" ht="82.5" customHeight="1">
      <c r="A31" s="3" t="inlineStr">
        <is>
          <t>FUNC-DN04</t>
        </is>
      </c>
      <c r="B31" s="3" t="inlineStr">
        <is>
          <t>Để trống trường "Gmail"</t>
        </is>
      </c>
      <c r="C31" s="3" t="inlineStr">
        <is>
          <t>1. Để trống trường Gmail
2. Nhập mật khẩu
3. Click "Đăng Nhập"</t>
        </is>
      </c>
      <c r="D31" s="3" t="inlineStr">
        <is>
          <t>Truy cập màn hình Đăng Nhập</t>
        </is>
      </c>
      <c r="E31" s="3" t="inlineStr">
        <is>
          <t>Thông báo lỗi: "Vui lòng nhập Gmail"</t>
        </is>
      </c>
      <c r="F31" s="3" t="inlineStr">
        <is>
          <t>Thông báo lỗi: "Vui lòng nhập Gmail"</t>
        </is>
      </c>
      <c r="G31" s="3" t="inlineStr">
        <is>
          <t>Passed</t>
        </is>
      </c>
      <c r="H31" s="3" t="inlineStr">
        <is>
          <t>25-04-2026</t>
        </is>
      </c>
      <c r="I31" s="3" t="inlineStr">
        <is>
          <t>Hiếu</t>
        </is>
      </c>
      <c r="J31" s="3" t="n"/>
      <c r="K31" s="3" t="n"/>
      <c r="L31" s="3" t="n"/>
      <c r="M31" s="3" t="n"/>
    </row>
    <row r="32" ht="82.5" customHeight="1">
      <c r="A32" s="3" t="inlineStr">
        <is>
          <t>FUNC-DN05</t>
        </is>
      </c>
      <c r="B32" s="3" t="inlineStr">
        <is>
          <t>Để trống trường "Mật khẩu"</t>
        </is>
      </c>
      <c r="C32" s="3" t="inlineStr">
        <is>
          <t>1. Nhập Gmail hợp lệ
2. Để trống Mật khẩu
3. Click "Đăng Nhập"</t>
        </is>
      </c>
      <c r="D32" s="3" t="inlineStr">
        <is>
          <t>Truy cập màn hình Đăng Nhập</t>
        </is>
      </c>
      <c r="E32" s="3" t="inlineStr">
        <is>
          <t>Thông báo lỗi: "Vui lòng nhập mật khẩu"</t>
        </is>
      </c>
      <c r="F32" s="3" t="inlineStr">
        <is>
          <t>Thông báo lỗi: "Vui lòng nhập mật khẩu"</t>
        </is>
      </c>
      <c r="G32" s="3" t="inlineStr">
        <is>
          <t>Passed</t>
        </is>
      </c>
      <c r="H32" s="3" t="inlineStr">
        <is>
          <t>25-04-2026</t>
        </is>
      </c>
      <c r="I32" s="3" t="inlineStr">
        <is>
          <t>Hiếu</t>
        </is>
      </c>
      <c r="J32" s="3" t="n"/>
      <c r="K32" s="3" t="n"/>
      <c r="L32" s="3" t="n"/>
      <c r="M32" s="3" t="n"/>
    </row>
    <row r="33" ht="82.5" customHeight="1">
      <c r="A33" s="3" t="inlineStr">
        <is>
          <t>FUNC-DN06</t>
        </is>
      </c>
      <c r="B33" s="3" t="inlineStr">
        <is>
          <t>Để trống tất cả các trường và click Đăng Nhập</t>
        </is>
      </c>
      <c r="C33" s="3" t="inlineStr">
        <is>
          <t>1. Không nhập bất kỳ dữ liệu nào
2. Click "Đăng Nhập"</t>
        </is>
      </c>
      <c r="D33" s="3" t="inlineStr">
        <is>
          <t>Truy cập màn hình Đăng Nhập</t>
        </is>
      </c>
      <c r="E33" s="3" t="inlineStr">
        <is>
          <t>Thông báo lỗi trên tất cả các trường bắt buộc</t>
        </is>
      </c>
      <c r="F33" s="3" t="inlineStr">
        <is>
          <t>Thông báo lỗi trên tất cả các trường bắt buộc</t>
        </is>
      </c>
      <c r="G33" s="3" t="inlineStr">
        <is>
          <t>Passed</t>
        </is>
      </c>
      <c r="H33" s="3" t="inlineStr">
        <is>
          <t>25-04-2026</t>
        </is>
      </c>
      <c r="I33" s="3" t="inlineStr">
        <is>
          <t>Hiếu</t>
        </is>
      </c>
      <c r="J33" s="3" t="n"/>
      <c r="K33" s="3" t="n"/>
      <c r="L33" s="3" t="n"/>
      <c r="M33" s="3" t="n"/>
    </row>
    <row r="34" ht="82.5" customHeight="1">
      <c r="A34" s="3" t="inlineStr">
        <is>
          <t>FUNC-DN07</t>
        </is>
      </c>
      <c r="B34" s="3" t="inlineStr">
        <is>
          <t>Nhập Gmail sai định dạng</t>
        </is>
      </c>
      <c r="C34" s="3" t="inlineStr">
        <is>
          <t>1. Nhập Gmail sai định dạng (vd: "emailkhonghople")
2. Nhập mật khẩu
3. Click "Đăng Nhập"</t>
        </is>
      </c>
      <c r="D34" s="3" t="inlineStr">
        <is>
          <t>Truy cập màn hình Đăng Nhập</t>
        </is>
      </c>
      <c r="E34" s="3" t="inlineStr">
        <is>
          <t>Thông báo lỗi: "Gmail không đúng định dạng"</t>
        </is>
      </c>
      <c r="F34" s="3" t="inlineStr">
        <is>
          <t>Thông báo lỗi: "Gmail không đúng định dạng"</t>
        </is>
      </c>
      <c r="G34" s="3" t="inlineStr">
        <is>
          <t>Passed</t>
        </is>
      </c>
      <c r="H34" s="3" t="inlineStr">
        <is>
          <t>25-04-2026</t>
        </is>
      </c>
      <c r="I34" s="3" t="inlineStr">
        <is>
          <t>Hiếu</t>
        </is>
      </c>
      <c r="J34" s="3" t="n"/>
      <c r="K34" s="3" t="n"/>
      <c r="L34" s="3" t="n"/>
      <c r="M34" s="3" t="n"/>
    </row>
    <row r="35" ht="82.5" customHeight="1">
      <c r="A35" s="3" t="inlineStr">
        <is>
          <t>FUNC-DN08</t>
        </is>
      </c>
      <c r="B35" s="3" t="inlineStr">
        <is>
          <t>Tích chọn "Ghi nhớ đăng nhập" và đăng nhập thành công</t>
        </is>
      </c>
      <c r="C35" s="3" t="inlineStr">
        <is>
          <t>1. Tích vào checkbox "Ghi nhớ đăng nhập"
2. Nhập Gmail và mật khẩu hợp lệ
3. Click "Đăng Nhập"
4. Thoát ứng dụng và mở lại</t>
        </is>
      </c>
      <c r="D35" s="3" t="inlineStr">
        <is>
          <t>Tài khoản đã tồn tại</t>
        </is>
      </c>
      <c r="E35" s="3" t="inlineStr">
        <is>
          <t>Hệ thống tự động điền thông tin đăng nhập lần sau</t>
        </is>
      </c>
      <c r="F35" s="3" t="inlineStr">
        <is>
          <t>Hệ thống tự động điền thông tin đăng nhập lần sau</t>
        </is>
      </c>
      <c r="G35" s="3" t="inlineStr">
        <is>
          <t>Passed</t>
        </is>
      </c>
      <c r="H35" s="3" t="inlineStr">
        <is>
          <t>25-04-2026</t>
        </is>
      </c>
      <c r="I35" s="3" t="inlineStr">
        <is>
          <t>Hiếu</t>
        </is>
      </c>
      <c r="J35" s="3" t="n"/>
      <c r="K35" s="3" t="n"/>
      <c r="L35" s="3" t="n"/>
      <c r="M35" s="3" t="n"/>
    </row>
    <row r="36" ht="82.5" customHeight="1">
      <c r="A36" s="3" t="inlineStr">
        <is>
          <t>FUNC-DN09</t>
        </is>
      </c>
      <c r="B36" s="3" t="inlineStr">
        <is>
          <t>Click "Quên mật khẩu?" chuyển sang trang đổi mật khẩu</t>
        </is>
      </c>
      <c r="C36" s="3" t="inlineStr">
        <is>
          <t>1. Click "Quên mật khẩu?"</t>
        </is>
      </c>
      <c r="D36" s="3" t="inlineStr">
        <is>
          <t>Truy cập màn hình Đăng Nhập</t>
        </is>
      </c>
      <c r="E36" s="3" t="inlineStr">
        <is>
          <t>Chuyển sang màn hình Quên mật khẩu thành công</t>
        </is>
      </c>
      <c r="F36" s="3" t="inlineStr">
        <is>
          <t>Chuyển sang màn hình Quên mật khẩu thành công</t>
        </is>
      </c>
      <c r="G36" s="3" t="inlineStr">
        <is>
          <t>Passed</t>
        </is>
      </c>
      <c r="H36" s="3" t="inlineStr">
        <is>
          <t>25-04-2026</t>
        </is>
      </c>
      <c r="I36" s="3" t="inlineStr">
        <is>
          <t>Hiếu</t>
        </is>
      </c>
      <c r="J36" s="3" t="n"/>
      <c r="K36" s="3" t="n"/>
      <c r="L36" s="3" t="n"/>
      <c r="M36" s="3" t="n"/>
    </row>
    <row r="37" ht="82.5" customHeight="1">
      <c r="A37" s="3" t="inlineStr">
        <is>
          <t>FUNC-DN10</t>
        </is>
      </c>
      <c r="B37" s="3" t="inlineStr">
        <is>
          <t>Đăng nhập qua Google thành công</t>
        </is>
      </c>
      <c r="C37" s="3" t="inlineStr">
        <is>
          <t>1. Click nút "Google"
2. Chọn tài khoản Google hợp lệ
3. Xác nhận quyền truy cập</t>
        </is>
      </c>
      <c r="D37" s="3" t="inlineStr">
        <is>
          <t>Có tài khoản Google hợp lệ</t>
        </is>
      </c>
      <c r="E37" s="3" t="inlineStr">
        <is>
          <t>Đăng nhập thành công qua Google, chuyển sang màn hình chính</t>
        </is>
      </c>
      <c r="F37" s="3" t="inlineStr">
        <is>
          <t>Đăng nhập thành công qua Google, chuyển sang màn hình chính</t>
        </is>
      </c>
      <c r="G37" s="3" t="inlineStr">
        <is>
          <t>Passed</t>
        </is>
      </c>
      <c r="H37" s="3" t="inlineStr">
        <is>
          <t>25-04-2026</t>
        </is>
      </c>
      <c r="I37" s="3" t="inlineStr">
        <is>
          <t>Hiếu</t>
        </is>
      </c>
      <c r="J37" s="3" t="n"/>
      <c r="K37" s="3" t="n"/>
      <c r="L37" s="3" t="n"/>
      <c r="M37" s="3" t="n"/>
    </row>
    <row r="38" ht="82.5" customHeight="1">
      <c r="A38" s="3" t="inlineStr">
        <is>
          <t>FUNC-DN11</t>
        </is>
      </c>
      <c r="B38" s="3" t="inlineStr">
        <is>
          <t>Đăng nhập qua Facebook thành công</t>
        </is>
      </c>
      <c r="C38" s="3" t="inlineStr">
        <is>
          <t>1. Click nút "Facebook"
2. Chọn tài khoản Facebook hợp lệ
3. Xác nhận quyền truy cập</t>
        </is>
      </c>
      <c r="D38" s="3" t="inlineStr">
        <is>
          <t>Có tài khoản Facebook hợp lệ</t>
        </is>
      </c>
      <c r="E38" s="3" t="inlineStr">
        <is>
          <t>Đăng nhập thành công qua Facebook, chuyển sang màn hình chính</t>
        </is>
      </c>
      <c r="F38" s="3" t="inlineStr">
        <is>
          <t>Đăng nhập thành công qua Facebook, chuyển sang màn hình chính</t>
        </is>
      </c>
      <c r="G38" s="3" t="inlineStr">
        <is>
          <t>Passed</t>
        </is>
      </c>
      <c r="H38" s="3" t="inlineStr">
        <is>
          <t>25-04-2026</t>
        </is>
      </c>
      <c r="I38" s="3" t="inlineStr">
        <is>
          <t>Hiếu</t>
        </is>
      </c>
      <c r="J38" s="3" t="n"/>
      <c r="K38" s="3" t="n"/>
      <c r="L38" s="3" t="n"/>
      <c r="M38" s="3" t="n"/>
    </row>
    <row r="39" ht="82.5" customHeight="1">
      <c r="A39" s="3" t="inlineStr">
        <is>
          <t>FUNC-DN12</t>
        </is>
      </c>
      <c r="B39" s="3" t="inlineStr">
        <is>
          <t>Click link "Đăng ký ngay" chuyển về màn hình đăng ký</t>
        </is>
      </c>
      <c r="C39" s="3" t="inlineStr">
        <is>
          <t>1. Click vào link "Đăng ký ngay" ở cuối trang</t>
        </is>
      </c>
      <c r="D39" s="3" t="inlineStr">
        <is>
          <t>Truy cập màn hình Đăng Nhập</t>
        </is>
      </c>
      <c r="E39" s="3" t="inlineStr">
        <is>
          <t>Chuyển về màn hình Đăng Ký thành công</t>
        </is>
      </c>
      <c r="F39" s="3" t="inlineStr">
        <is>
          <t>Chuyển về màn hình Đăng Ký thành công</t>
        </is>
      </c>
      <c r="G39" s="3" t="inlineStr">
        <is>
          <t>Passed</t>
        </is>
      </c>
      <c r="H39" s="3" t="inlineStr">
        <is>
          <t>25-04-2026</t>
        </is>
      </c>
      <c r="I39" s="3" t="inlineStr">
        <is>
          <t>Hiếu</t>
        </is>
      </c>
      <c r="J39" s="3" t="n"/>
      <c r="K39" s="3" t="n"/>
      <c r="L39" s="3" t="n"/>
      <c r="M39" s="3" t="n"/>
    </row>
  </sheetData>
  <mergeCells count="15">
    <mergeCell ref="F12:F14"/>
    <mergeCell ref="A12:A14"/>
    <mergeCell ref="M12:M14"/>
    <mergeCell ref="C12:C14"/>
    <mergeCell ref="B2:F2"/>
    <mergeCell ref="A27:M27"/>
    <mergeCell ref="G13:I13"/>
    <mergeCell ref="D12:D14"/>
    <mergeCell ref="B12:B14"/>
    <mergeCell ref="J13:L13"/>
    <mergeCell ref="E12:E14"/>
    <mergeCell ref="G12:I12"/>
    <mergeCell ref="A15:M15"/>
    <mergeCell ref="J12:L12"/>
    <mergeCell ref="B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6"/>
  <sheetViews>
    <sheetView topLeftCell="A4" zoomScale="70" zoomScaleNormal="70" workbookViewId="0">
      <selection activeCell="F10" sqref="F10"/>
    </sheetView>
  </sheetViews>
  <sheetFormatPr baseColWidth="8" defaultRowHeight="13.5"/>
  <cols>
    <col width="16" customWidth="1" min="1" max="1"/>
    <col width="32" customWidth="1" min="2" max="2"/>
    <col width="38" customWidth="1" min="3" max="3"/>
    <col width="26" customWidth="1" min="4" max="4"/>
    <col width="38" customWidth="1" min="5" max="6"/>
    <col width="12" customWidth="1" min="7" max="7"/>
    <col width="13" customWidth="1" min="8" max="8"/>
    <col width="14" customWidth="1" min="9" max="9"/>
    <col width="12" customWidth="1" min="10" max="10"/>
    <col width="13" customWidth="1" min="11" max="11"/>
    <col width="14" customWidth="1" min="12" max="12"/>
    <col width="15" customWidth="1" min="13" max="13"/>
  </cols>
  <sheetData>
    <row r="1" ht="33" customHeight="1">
      <c r="A1" s="1" t="inlineStr">
        <is>
          <t>Project Name</t>
        </is>
      </c>
      <c r="B1" s="10" t="inlineStr">
        <is>
          <t>GR29 SOS - Ứng dụng cấp cứu khẩn cấp</t>
        </is>
      </c>
      <c r="C1" s="11" t="n"/>
      <c r="D1" s="11" t="n"/>
      <c r="E1" s="11" t="n"/>
      <c r="F1" s="12" t="n"/>
    </row>
    <row r="2" ht="33" customHeight="1">
      <c r="A2" s="1" t="inlineStr">
        <is>
          <t>Module Code</t>
        </is>
      </c>
      <c r="B2" s="10" t="inlineStr">
        <is>
          <t>Quên Mật Khẩu (3 bước)</t>
        </is>
      </c>
      <c r="C2" s="11" t="n"/>
      <c r="D2" s="11" t="n"/>
      <c r="E2" s="11" t="n"/>
      <c r="F2" s="12" t="n"/>
    </row>
    <row r="3" ht="66" customHeight="1">
      <c r="A3" s="15" t="n"/>
      <c r="B3" s="7" t="inlineStr">
        <is>
          <t>Hoàn thành</t>
        </is>
      </c>
      <c r="C3" s="7" t="inlineStr">
        <is>
          <t>Lỗi</t>
        </is>
      </c>
      <c r="D3" s="7" t="inlineStr">
        <is>
          <t>Chưa kiểm tra</t>
        </is>
      </c>
      <c r="E3" s="7" t="inlineStr">
        <is>
          <t>Bị chặn</t>
        </is>
      </c>
      <c r="F3" s="7" t="inlineStr">
        <is>
          <t>Tổng số trường hợp thử nghiệm</t>
        </is>
      </c>
    </row>
    <row r="4" ht="15" customHeight="1">
      <c r="A4" s="14" t="inlineStr">
        <is>
          <t>Round 1</t>
        </is>
      </c>
      <c r="B4" s="6">
        <f>COUNTIF(G16:G60,"Passed")</f>
        <v/>
      </c>
      <c r="C4" s="6">
        <f>COUNTIF(G16:G60,"Failed")</f>
        <v/>
      </c>
      <c r="D4" s="6">
        <f>COUNTIF(G16:G60,"Untested")</f>
        <v/>
      </c>
      <c r="E4" s="6">
        <f>COUNTIF(G16:G60,"Blocked")</f>
        <v/>
      </c>
      <c r="F4" s="6">
        <f>COUNTA(A16:A60)</f>
        <v/>
      </c>
    </row>
    <row r="5" ht="15" customHeight="1">
      <c r="A5" s="14" t="inlineStr">
        <is>
          <t>Round 2</t>
        </is>
      </c>
      <c r="B5" s="6">
        <f>COUNTIF(J16:J60,"Passed")</f>
        <v/>
      </c>
      <c r="C5" s="6">
        <f>COUNTIF(J16:J60,"Failed")</f>
        <v/>
      </c>
      <c r="D5" s="6">
        <f>COUNTIF(J16:J60,"Untested")</f>
        <v/>
      </c>
      <c r="E5" s="6">
        <f>COUNTIF(J16:J60,"Blocked")</f>
        <v/>
      </c>
      <c r="F5" s="6">
        <f>COUNTA(A16:A60)</f>
        <v/>
      </c>
    </row>
    <row r="6" ht="31.5" customHeight="1"/>
    <row r="7" ht="31.5" customHeight="1"/>
    <row r="8" ht="31.5" customHeight="1"/>
    <row r="9" ht="31.5" customHeight="1"/>
    <row r="10" ht="31.5" customHeight="1"/>
    <row r="11" ht="31.5" customHeight="1"/>
    <row r="12" ht="16.5" customHeight="1">
      <c r="A12" s="7" t="inlineStr">
        <is>
          <t>Test Case ID</t>
        </is>
      </c>
      <c r="B12" s="7" t="inlineStr">
        <is>
          <t>Mô tả</t>
        </is>
      </c>
      <c r="C12" s="7" t="inlineStr">
        <is>
          <t>Hành động</t>
        </is>
      </c>
      <c r="D12" s="7" t="inlineStr">
        <is>
          <t>Điều kiện tiên quyết</t>
        </is>
      </c>
      <c r="E12" s="7" t="inlineStr">
        <is>
          <t>Kết quả mong đợi</t>
        </is>
      </c>
      <c r="F12" s="7" t="inlineStr">
        <is>
          <t>Kết quả thực tế</t>
        </is>
      </c>
      <c r="G12" s="7" t="inlineStr">
        <is>
          <t>Kết quả</t>
        </is>
      </c>
      <c r="H12" s="11" t="n"/>
      <c r="I12" s="12" t="n"/>
      <c r="J12" s="7" t="inlineStr">
        <is>
          <t>Kết quả</t>
        </is>
      </c>
      <c r="K12" s="11" t="n"/>
      <c r="L12" s="12" t="n"/>
      <c r="M12" s="7" t="inlineStr">
        <is>
          <t>Chú thích</t>
        </is>
      </c>
    </row>
    <row r="13" ht="16.5" customHeight="1">
      <c r="A13" s="8" t="n"/>
      <c r="B13" s="8" t="n"/>
      <c r="C13" s="8" t="n"/>
      <c r="D13" s="8" t="n"/>
      <c r="E13" s="8" t="n"/>
      <c r="F13" s="8" t="n"/>
      <c r="G13" s="7" t="inlineStr">
        <is>
          <t>Vòng 1</t>
        </is>
      </c>
      <c r="H13" s="11" t="n"/>
      <c r="I13" s="12" t="n"/>
      <c r="J13" s="7" t="inlineStr">
        <is>
          <t>Vòng 2</t>
        </is>
      </c>
      <c r="K13" s="11" t="n"/>
      <c r="L13" s="12" t="n"/>
      <c r="M13" s="8" t="n"/>
    </row>
    <row r="14" ht="33" customHeight="1">
      <c r="A14" s="9" t="n"/>
      <c r="B14" s="9" t="n"/>
      <c r="C14" s="9" t="n"/>
      <c r="D14" s="9" t="n"/>
      <c r="E14" s="9" t="n"/>
      <c r="F14" s="9" t="n"/>
      <c r="G14" s="7" t="inlineStr">
        <is>
          <t>Trạng thái</t>
        </is>
      </c>
      <c r="H14" s="7" t="inlineStr">
        <is>
          <t>Ngày kiểm tra</t>
        </is>
      </c>
      <c r="I14" s="7" t="inlineStr">
        <is>
          <t>Người kiểm tra</t>
        </is>
      </c>
      <c r="J14" s="7" t="inlineStr">
        <is>
          <t>Trạng thái</t>
        </is>
      </c>
      <c r="K14" s="7" t="inlineStr">
        <is>
          <t>Ngày kiểm tra</t>
        </is>
      </c>
      <c r="L14" s="7" t="inlineStr">
        <is>
          <t>Người kiểm tra</t>
        </is>
      </c>
      <c r="M14" s="9" t="n"/>
    </row>
    <row r="15" ht="16.5" customHeight="1">
      <c r="A15" s="13" t="inlineStr">
        <is>
          <t>GUI_SHOW Bước 1 – Nhập email</t>
        </is>
      </c>
      <c r="B15" s="11" t="n"/>
      <c r="C15" s="11" t="n"/>
      <c r="D15" s="11" t="n"/>
      <c r="E15" s="11" t="n"/>
      <c r="F15" s="11" t="n"/>
      <c r="G15" s="11" t="n"/>
      <c r="H15" s="11" t="n"/>
      <c r="I15" s="11" t="n"/>
      <c r="J15" s="11" t="n"/>
      <c r="K15" s="11" t="n"/>
      <c r="L15" s="11" t="n"/>
      <c r="M15" s="12" t="n"/>
    </row>
    <row r="16" ht="50.1" customHeight="1">
      <c r="A16" s="3" t="inlineStr">
        <is>
          <t>GUI-QMK-B1-01</t>
        </is>
      </c>
      <c r="B16" s="3" t="inlineStr">
        <is>
          <t>[GR29SOS] Title Label</t>
        </is>
      </c>
      <c r="C16" s="3" t="n"/>
      <c r="D16" s="3" t="n"/>
      <c r="E16" s="3" t="inlineStr">
        <is>
          <t>-Title: "GR29SOS"
-Text color: dark/blue
-Status: enable</t>
        </is>
      </c>
      <c r="F16" s="3" t="inlineStr">
        <is>
          <t>-Title: "GR29SOS"
-Text color: dark/blue
-Status: enable</t>
        </is>
      </c>
      <c r="G16" s="3" t="inlineStr">
        <is>
          <t>Passed</t>
        </is>
      </c>
      <c r="H16" s="3" t="inlineStr">
        <is>
          <t>2025-01-10</t>
        </is>
      </c>
      <c r="I16" s="16" t="inlineStr">
        <is>
          <t>Hiếu</t>
        </is>
      </c>
      <c r="J16" s="3" t="n"/>
      <c r="K16" s="3" t="n"/>
      <c r="L16" s="3" t="n"/>
      <c r="M16" s="3" t="n"/>
    </row>
    <row r="17" ht="50.1" customHeight="1">
      <c r="A17" s="3" t="inlineStr">
        <is>
          <t>GUI-QMK-B1-02</t>
        </is>
      </c>
      <c r="B17" s="3" t="inlineStr">
        <is>
          <t>[Khôi phục mật khẩu] Subtitle</t>
        </is>
      </c>
      <c r="C17" s="3" t="n"/>
      <c r="D17" s="3" t="n"/>
      <c r="E17" s="3" t="inlineStr">
        <is>
          <t>-Label: "Khôi phục mật khẩu"
-Status: enable</t>
        </is>
      </c>
      <c r="F17" s="3" t="inlineStr">
        <is>
          <t>-Label: "Khôi phục mật khẩu"
-Status: enable</t>
        </is>
      </c>
      <c r="G17" s="3" t="inlineStr">
        <is>
          <t>Passed</t>
        </is>
      </c>
      <c r="H17" s="3" t="inlineStr">
        <is>
          <t>2025-01-10</t>
        </is>
      </c>
      <c r="I17" s="16" t="inlineStr">
        <is>
          <t>Hiếu</t>
        </is>
      </c>
      <c r="J17" s="3" t="n"/>
      <c r="K17" s="3" t="n"/>
      <c r="L17" s="3" t="n"/>
      <c r="M17" s="3" t="n"/>
    </row>
    <row r="18" ht="60" customHeight="1">
      <c r="A18" s="3" t="inlineStr">
        <is>
          <t>GUI-QMK-B1-03</t>
        </is>
      </c>
      <c r="B18" s="3" t="inlineStr">
        <is>
          <t>Thanh tiến trình 3 bước (Step 1 active)</t>
        </is>
      </c>
      <c r="C18" s="3" t="n"/>
      <c r="D18" s="3" t="n"/>
      <c r="E18" s="3" t="inlineStr">
        <is>
          <t>-Bước 1 highlight (màu tím)
-Bước 2, 3 chưa active (xám)
-Status: enable</t>
        </is>
      </c>
      <c r="F18" s="3" t="inlineStr">
        <is>
          <t>-Bước 1 highlight (màu tím)
-Bước 2, 3 chưa active (xám)
-Status: enable</t>
        </is>
      </c>
      <c r="G18" s="3" t="inlineStr">
        <is>
          <t>Passed</t>
        </is>
      </c>
      <c r="H18" s="3" t="inlineStr">
        <is>
          <t>2025-01-10</t>
        </is>
      </c>
      <c r="I18" s="16" t="inlineStr">
        <is>
          <t>Hiếu</t>
        </is>
      </c>
      <c r="J18" s="3" t="n"/>
      <c r="K18" s="3" t="n"/>
      <c r="L18" s="3" t="n"/>
      <c r="M18" s="3" t="n"/>
    </row>
    <row r="19" ht="66" customHeight="1">
      <c r="A19" s="3" t="inlineStr">
        <is>
          <t>GUI-QMK-B1-04</t>
        </is>
      </c>
      <c r="B19" s="3" t="inlineStr">
        <is>
          <t>[Thông báo hướng dẫn] Info box</t>
        </is>
      </c>
      <c r="C19" s="3" t="n"/>
      <c r="D19" s="3" t="n"/>
      <c r="E19" s="3" t="inlineStr">
        <is>
          <t>-Icon thông tin
-Text: "Nhập email đã đăng ký. Chúng tôi sẽ gửi mã xác nhận đến email của bạn."
-Status: enable</t>
        </is>
      </c>
      <c r="F19" s="3" t="inlineStr">
        <is>
          <t>-Icon thông tin
-Text hướng dẫn hiển thị đúng
-Status: enable</t>
        </is>
      </c>
      <c r="G19" s="3" t="inlineStr">
        <is>
          <t>Passed</t>
        </is>
      </c>
      <c r="H19" s="3" t="inlineStr">
        <is>
          <t>2025-01-10</t>
        </is>
      </c>
      <c r="I19" s="16" t="inlineStr">
        <is>
          <t>Hiếu</t>
        </is>
      </c>
      <c r="J19" s="3" t="n"/>
      <c r="K19" s="3" t="n"/>
      <c r="L19" s="3" t="n"/>
      <c r="M19" s="3" t="n"/>
    </row>
    <row r="20" ht="78" customHeight="1">
      <c r="A20" s="3" t="inlineStr">
        <is>
          <t>GUI-QMK-B1-05</t>
        </is>
      </c>
      <c r="B20" s="3" t="inlineStr">
        <is>
          <t>[EMAIL] Label &amp; Textbox</t>
        </is>
      </c>
      <c r="C20" s="3" t="n"/>
      <c r="D20" s="3" t="n"/>
      <c r="E20" s="3" t="inlineStr">
        <is>
          <t>-Label: "EMAIL"
-Placeholder: "Nhập email của bạn"
-Icon mail
-Status: enable</t>
        </is>
      </c>
      <c r="F20" s="3" t="inlineStr">
        <is>
          <t>-Label: "EMAIL"
-Placeholder: "Nhập email của bạn"
-Icon mail
-Status: enable</t>
        </is>
      </c>
      <c r="G20" s="3" t="inlineStr">
        <is>
          <t>Passed</t>
        </is>
      </c>
      <c r="H20" s="3" t="inlineStr">
        <is>
          <t>2025-01-10</t>
        </is>
      </c>
      <c r="I20" s="16" t="inlineStr">
        <is>
          <t>Hiếu</t>
        </is>
      </c>
      <c r="J20" s="3" t="n"/>
      <c r="K20" s="3" t="n"/>
      <c r="L20" s="3" t="n"/>
      <c r="M20" s="3" t="n"/>
    </row>
    <row r="21" ht="60" customHeight="1">
      <c r="A21" s="3" t="inlineStr">
        <is>
          <t>GUI-QMK-B1-06</t>
        </is>
      </c>
      <c r="B21" s="3" t="inlineStr">
        <is>
          <t>[Gửi mã xác nhận] Button</t>
        </is>
      </c>
      <c r="C21" s="3" t="n"/>
      <c r="D21" s="3" t="n"/>
      <c r="E21" s="3" t="inlineStr">
        <is>
          <t>-Text: "Gửi mã xác nhận"
-Background: blue
-Text color: white
-Status: enable</t>
        </is>
      </c>
      <c r="F21" s="3" t="inlineStr">
        <is>
          <t>-Text: "Gửi mã xác nhận"
-Background: blue
-Text color: white
-Status: enable</t>
        </is>
      </c>
      <c r="G21" s="3" t="inlineStr">
        <is>
          <t>Passed</t>
        </is>
      </c>
      <c r="H21" s="3" t="inlineStr">
        <is>
          <t>2025-01-10</t>
        </is>
      </c>
      <c r="I21" s="16" t="inlineStr">
        <is>
          <t>Hiếu</t>
        </is>
      </c>
      <c r="J21" s="3" t="n"/>
      <c r="K21" s="3" t="n"/>
      <c r="L21" s="3" t="n"/>
      <c r="M21" s="3" t="n"/>
    </row>
    <row r="22" ht="50.1" customHeight="1">
      <c r="A22" s="3" t="inlineStr">
        <is>
          <t>GUI-QMK-B1-07</t>
        </is>
      </c>
      <c r="B22" s="3" t="inlineStr">
        <is>
          <t>[← Quay lại đăng nhập] Link</t>
        </is>
      </c>
      <c r="C22" s="3" t="n"/>
      <c r="D22" s="3" t="n"/>
      <c r="E22" s="3" t="inlineStr">
        <is>
          <t>-Text: "← Quay lại đăng nhập"
-Text color: blue
-Status: enable</t>
        </is>
      </c>
      <c r="F22" s="3" t="inlineStr">
        <is>
          <t>-Text: "← Quay lại đăng nhập"
-Text color: blue
-Status: enable</t>
        </is>
      </c>
      <c r="G22" s="3" t="inlineStr">
        <is>
          <t>Passed</t>
        </is>
      </c>
      <c r="H22" s="3" t="inlineStr">
        <is>
          <t>2025-01-10</t>
        </is>
      </c>
      <c r="I22" s="16" t="inlineStr">
        <is>
          <t>Hiếu</t>
        </is>
      </c>
      <c r="J22" s="3" t="n"/>
      <c r="K22" s="3" t="n"/>
      <c r="L22" s="3" t="n"/>
      <c r="M22" s="3" t="n"/>
    </row>
    <row r="23" ht="16.5" customHeight="1">
      <c r="A23" s="13" t="inlineStr">
        <is>
          <t>FUNCTION_SHOW Bước 1 – Nhập email</t>
        </is>
      </c>
      <c r="B23" s="11" t="n"/>
      <c r="C23" s="11" t="n"/>
      <c r="D23" s="11" t="n"/>
      <c r="E23" s="11" t="n"/>
      <c r="F23" s="11" t="n"/>
      <c r="G23" s="11" t="n"/>
      <c r="H23" s="11" t="n"/>
      <c r="I23" s="11" t="n"/>
      <c r="J23" s="11" t="n"/>
      <c r="K23" s="11" t="n"/>
      <c r="L23" s="11" t="n"/>
      <c r="M23" s="12" t="n"/>
    </row>
    <row r="24" ht="81.95" customHeight="1">
      <c r="A24" s="3" t="inlineStr">
        <is>
          <t>FUNC-QMK-B1-01</t>
        </is>
      </c>
      <c r="B24" s="3" t="inlineStr">
        <is>
          <t>Gửi mã xác nhận thành công với email hợp lệ đã đăng ký</t>
        </is>
      </c>
      <c r="C24" s="3" t="inlineStr">
        <is>
          <t>1. Nhập email đã đăng ký hợp lệ
2. Click "Gửi mã xác nhận"</t>
        </is>
      </c>
      <c r="D24" s="3" t="inlineStr">
        <is>
          <t>Tài khoản với email đó đã tồn tại</t>
        </is>
      </c>
      <c r="E24" s="3" t="inlineStr">
        <is>
          <t>Chuyển sang Bước 2 (nhập mã OTP), email nhận được mã xác nhận</t>
        </is>
      </c>
      <c r="F24" s="3" t="inlineStr">
        <is>
          <t>Chuyển sang Bước 2, email nhận được mã xác nhận</t>
        </is>
      </c>
      <c r="G24" s="3" t="inlineStr">
        <is>
          <t>Passed</t>
        </is>
      </c>
      <c r="H24" s="3" t="inlineStr">
        <is>
          <t>2025-01-10</t>
        </is>
      </c>
      <c r="I24" s="16" t="inlineStr">
        <is>
          <t>Hiếu</t>
        </is>
      </c>
      <c r="J24" s="3" t="n"/>
      <c r="K24" s="3" t="n"/>
      <c r="L24" s="3" t="n"/>
      <c r="M24" s="3" t="n"/>
    </row>
    <row r="25" ht="81.95" customHeight="1">
      <c r="A25" s="3" t="inlineStr">
        <is>
          <t>FUNC-QMK-B1-02</t>
        </is>
      </c>
      <c r="B25" s="3" t="inlineStr">
        <is>
          <t>Nhập email chưa đăng ký trong hệ thống</t>
        </is>
      </c>
      <c r="C25" s="3" t="inlineStr">
        <is>
          <t>1. Nhập email chưa đăng ký
2. Click "Gửi mã xác nhận"</t>
        </is>
      </c>
      <c r="D25" s="3" t="inlineStr">
        <is>
          <t>Truy cập màn hình Quên mật khẩu</t>
        </is>
      </c>
      <c r="E25" s="3" t="inlineStr">
        <is>
          <t>Thông báo lỗi: "Email không tồn tại trong hệ thống"</t>
        </is>
      </c>
      <c r="F25" s="3" t="inlineStr">
        <is>
          <t>Thông báo lỗi: "Email không tồn tại trong hệ thống"</t>
        </is>
      </c>
      <c r="G25" s="3" t="inlineStr">
        <is>
          <t>Passed</t>
        </is>
      </c>
      <c r="H25" s="3" t="inlineStr">
        <is>
          <t>2025-01-10</t>
        </is>
      </c>
      <c r="I25" s="16" t="inlineStr">
        <is>
          <t>Hiếu</t>
        </is>
      </c>
      <c r="J25" s="3" t="n"/>
      <c r="K25" s="3" t="n"/>
      <c r="L25" s="3" t="n"/>
      <c r="M25" s="3" t="n"/>
    </row>
    <row r="26" ht="66" customHeight="1">
      <c r="A26" s="3" t="inlineStr">
        <is>
          <t>FUNC-QMK-B1-03</t>
        </is>
      </c>
      <c r="B26" s="3" t="inlineStr">
        <is>
          <t>Để trống trường Email</t>
        </is>
      </c>
      <c r="C26" s="3" t="inlineStr">
        <is>
          <t>1. Để trống Email
2. Click "Gửi mã xác nhận"</t>
        </is>
      </c>
      <c r="D26" s="3" t="inlineStr">
        <is>
          <t>Truy cập màn hình Quên mật khẩu</t>
        </is>
      </c>
      <c r="E26" s="3" t="inlineStr">
        <is>
          <t>Thông báo lỗi: "Vui lòng nhập email"</t>
        </is>
      </c>
      <c r="F26" s="3" t="inlineStr">
        <is>
          <t>Thông báo lỗi: "Vui lòng nhập email"</t>
        </is>
      </c>
      <c r="G26" s="3" t="inlineStr">
        <is>
          <t>Passed</t>
        </is>
      </c>
      <c r="H26" s="3" t="inlineStr">
        <is>
          <t>2025-01-10</t>
        </is>
      </c>
      <c r="I26" s="16" t="inlineStr">
        <is>
          <t>Hiếu</t>
        </is>
      </c>
      <c r="J26" s="3" t="n"/>
      <c r="K26" s="3" t="n"/>
      <c r="L26" s="3" t="n"/>
      <c r="M26" s="3" t="n"/>
    </row>
    <row r="27" ht="66" customHeight="1">
      <c r="A27" s="3" t="inlineStr">
        <is>
          <t>FUNC-QMK-B1-04</t>
        </is>
      </c>
      <c r="B27" s="3" t="inlineStr">
        <is>
          <t>Nhập email sai định dạng</t>
        </is>
      </c>
      <c r="C27" s="3" t="inlineStr">
        <is>
          <t>1. Nhập email sai định dạng (vd: "emailsai")
2. Click "Gửi mã xác nhận"</t>
        </is>
      </c>
      <c r="D27" s="3" t="inlineStr">
        <is>
          <t>Truy cập màn hình Quên mật khẩu</t>
        </is>
      </c>
      <c r="E27" s="3" t="inlineStr">
        <is>
          <t>Thông báo lỗi: "Email không đúng định dạng"</t>
        </is>
      </c>
      <c r="F27" s="3" t="inlineStr">
        <is>
          <t>Thông báo lỗi: "Email không đúng định dạng"</t>
        </is>
      </c>
      <c r="G27" s="3" t="inlineStr">
        <is>
          <t>Passed</t>
        </is>
      </c>
      <c r="H27" s="3" t="inlineStr">
        <is>
          <t>2025-01-10</t>
        </is>
      </c>
      <c r="I27" s="16" t="inlineStr">
        <is>
          <t>Hiếu</t>
        </is>
      </c>
      <c r="J27" s="3" t="n"/>
      <c r="K27" s="3" t="n"/>
      <c r="L27" s="3" t="n"/>
      <c r="M27" s="3" t="n"/>
    </row>
    <row r="28" ht="66" customHeight="1">
      <c r="A28" s="3" t="inlineStr">
        <is>
          <t>FUNC-QMK-B1-05</t>
        </is>
      </c>
      <c r="B28" s="3" t="inlineStr">
        <is>
          <t>Click "← Quay lại đăng nhập"</t>
        </is>
      </c>
      <c r="C28" s="3" t="inlineStr">
        <is>
          <t>1. Click link "← Quay lại đăng nhập"</t>
        </is>
      </c>
      <c r="D28" s="3" t="inlineStr">
        <is>
          <t>Truy cập màn hình Quên mật khẩu</t>
        </is>
      </c>
      <c r="E28" s="3" t="inlineStr">
        <is>
          <t>Chuyển về màn hình Đăng Nhập thành công</t>
        </is>
      </c>
      <c r="F28" s="3" t="inlineStr">
        <is>
          <t>Chuyển về màn hình Đăng Nhập thành công</t>
        </is>
      </c>
      <c r="G28" s="3" t="inlineStr">
        <is>
          <t>Passed</t>
        </is>
      </c>
      <c r="H28" s="3" t="inlineStr">
        <is>
          <t>2025-01-10</t>
        </is>
      </c>
      <c r="I28" s="16" t="inlineStr">
        <is>
          <t>Hiếu</t>
        </is>
      </c>
      <c r="J28" s="3" t="n"/>
      <c r="K28" s="3" t="n"/>
      <c r="L28" s="3" t="n"/>
      <c r="M28" s="3" t="n"/>
    </row>
    <row r="29" ht="16.5" customHeight="1">
      <c r="A29" s="13" t="inlineStr">
        <is>
          <t>GUI_SHOW Bước 2 – Nhập mã OTP</t>
        </is>
      </c>
      <c r="B29" s="11" t="n"/>
      <c r="C29" s="11" t="n"/>
      <c r="D29" s="11" t="n"/>
      <c r="E29" s="11" t="n"/>
      <c r="F29" s="11" t="n"/>
      <c r="G29" s="11" t="n"/>
      <c r="H29" s="11" t="n"/>
      <c r="I29" s="11" t="n"/>
      <c r="J29" s="11" t="n"/>
      <c r="K29" s="11" t="n"/>
      <c r="L29" s="11" t="n"/>
      <c r="M29" s="12" t="n"/>
    </row>
    <row r="30" ht="66" customHeight="1">
      <c r="A30" s="3" t="inlineStr">
        <is>
          <t>GUI-QMK-B2-01</t>
        </is>
      </c>
      <c r="B30" s="3" t="inlineStr">
        <is>
          <t>Thanh tiến trình (Bước 1 hoàn thành, Bước 2 active)</t>
        </is>
      </c>
      <c r="C30" s="3" t="n"/>
      <c r="D30" s="3" t="n"/>
      <c r="E30" s="3" t="inlineStr">
        <is>
          <t>-Bước 1: icon check xanh lá
-Bước 2: highlight (màu tím)
-Bước 3: xám
-Status: enable</t>
        </is>
      </c>
      <c r="F30" s="3" t="inlineStr">
        <is>
          <t>-Bước 1: icon check xanh lá
-Bước 2: highlight
-Bước 3: xám</t>
        </is>
      </c>
      <c r="G30" s="3" t="inlineStr">
        <is>
          <t>Passed</t>
        </is>
      </c>
      <c r="H30" s="3" t="inlineStr">
        <is>
          <t>2025-01-10</t>
        </is>
      </c>
      <c r="I30" s="16" t="inlineStr">
        <is>
          <t>Hiếu</t>
        </is>
      </c>
      <c r="J30" s="3" t="n"/>
      <c r="K30" s="3" t="n"/>
      <c r="L30" s="3" t="n"/>
      <c r="M30" s="3" t="n"/>
    </row>
    <row r="31" ht="50.1" customHeight="1">
      <c r="A31" s="3" t="inlineStr">
        <is>
          <t>GUI-QMK-B2-02</t>
        </is>
      </c>
      <c r="B31" s="3" t="inlineStr">
        <is>
          <t>[Nhập mã xác nhận] Subtitle</t>
        </is>
      </c>
      <c r="C31" s="3" t="n"/>
      <c r="D31" s="3" t="n"/>
      <c r="E31" s="3" t="inlineStr">
        <is>
          <t>-Label: "Nhập mã xác nhận"
-Status: enable</t>
        </is>
      </c>
      <c r="F31" s="3" t="inlineStr">
        <is>
          <t>-Label: "Nhập mã xác nhận"
-Status: enable</t>
        </is>
      </c>
      <c r="G31" s="3" t="inlineStr">
        <is>
          <t>Passed</t>
        </is>
      </c>
      <c r="H31" s="3" t="inlineStr">
        <is>
          <t>2025-01-10</t>
        </is>
      </c>
      <c r="I31" s="16" t="inlineStr">
        <is>
          <t>Hiếu</t>
        </is>
      </c>
      <c r="J31" s="3" t="n"/>
      <c r="K31" s="3" t="n"/>
      <c r="L31" s="3" t="n"/>
      <c r="M31" s="3" t="n"/>
    </row>
    <row r="32" ht="66" customHeight="1">
      <c r="A32" s="3" t="inlineStr">
        <is>
          <t>GUI-QMK-B2-03</t>
        </is>
      </c>
      <c r="B32" s="3" t="inlineStr">
        <is>
          <t>[Thông báo đã gửi mã] Info box</t>
        </is>
      </c>
      <c r="C32" s="3" t="n"/>
      <c r="D32" s="3" t="n"/>
      <c r="E32" s="3" t="inlineStr">
        <is>
          <t>-Icon check xanh lá
-Text: "Mã xác nhận đã được gửi đến [email]"
-Email in đậm
-Background: xanh nhạt</t>
        </is>
      </c>
      <c r="F32" s="3" t="inlineStr">
        <is>
          <t>- Icon và text hiển thị đúng
-Email in đậm</t>
        </is>
      </c>
      <c r="G32" s="3" t="inlineStr">
        <is>
          <t>Passed</t>
        </is>
      </c>
      <c r="H32" s="3" t="inlineStr">
        <is>
          <t>2025-01-10</t>
        </is>
      </c>
      <c r="I32" s="16" t="inlineStr">
        <is>
          <t>Hiếu</t>
        </is>
      </c>
      <c r="J32" s="3" t="n"/>
      <c r="K32" s="3" t="n"/>
      <c r="L32" s="3" t="n"/>
      <c r="M32" s="3" t="n"/>
    </row>
    <row r="33" ht="60" customHeight="1">
      <c r="A33" s="3" t="inlineStr">
        <is>
          <t>GUI-QMK-B2-04</t>
        </is>
      </c>
      <c r="B33" s="3" t="inlineStr">
        <is>
          <t>[6 ô nhập OTP] Input boxes</t>
        </is>
      </c>
      <c r="C33" s="3" t="n"/>
      <c r="D33" s="3" t="n"/>
      <c r="E33" s="3" t="inlineStr">
        <is>
          <t>-6 ô vuông riêng biệt
-Mỗi ô nhập 1 ký tự
-Status: enable</t>
        </is>
      </c>
      <c r="F33" s="3" t="inlineStr">
        <is>
          <t>-6 ô vuông riêng biệt
-Nhập được 1 ký tự mỗi ô</t>
        </is>
      </c>
      <c r="G33" s="3" t="inlineStr">
        <is>
          <t>Passed</t>
        </is>
      </c>
      <c r="H33" s="3" t="inlineStr">
        <is>
          <t>2025-01-10</t>
        </is>
      </c>
      <c r="I33" s="16" t="inlineStr">
        <is>
          <t>Hiếu</t>
        </is>
      </c>
      <c r="J33" s="3" t="n"/>
      <c r="K33" s="3" t="n"/>
      <c r="L33" s="3" t="n"/>
      <c r="M33" s="3" t="n"/>
    </row>
    <row r="34" ht="66" customHeight="1">
      <c r="A34" s="3" t="inlineStr">
        <is>
          <t>GUI-QMK-B2-05</t>
        </is>
      </c>
      <c r="B34" s="3" t="inlineStr">
        <is>
          <t>[Mã có hiệu lực trong X:XX] Countdown</t>
        </is>
      </c>
      <c r="C34" s="3" t="n"/>
      <c r="D34" s="3" t="n"/>
      <c r="E34" s="3" t="inlineStr">
        <is>
          <t>-Text: "Mã có hiệu lực trong"
-Thời gian đếm ngược màu xanh (vd: 4:52)
-Status: enable</t>
        </is>
      </c>
      <c r="F34" s="3" t="inlineStr">
        <is>
          <t>-Countdown hiển thị và đếm ngược đúng</t>
        </is>
      </c>
      <c r="G34" s="3" t="inlineStr">
        <is>
          <t>Passed</t>
        </is>
      </c>
      <c r="H34" s="3" t="inlineStr">
        <is>
          <t>2025-01-10</t>
        </is>
      </c>
      <c r="I34" s="16" t="inlineStr">
        <is>
          <t>Hiếu</t>
        </is>
      </c>
      <c r="J34" s="3" t="n"/>
      <c r="K34" s="3" t="n"/>
      <c r="L34" s="3" t="n"/>
      <c r="M34" s="3" t="n"/>
    </row>
    <row r="35" ht="50.1" customHeight="1">
      <c r="A35" s="3" t="inlineStr">
        <is>
          <t>GUI-QMK-B2-06</t>
        </is>
      </c>
      <c r="B35" s="3" t="inlineStr">
        <is>
          <t>[Xác nhận] Button</t>
        </is>
      </c>
      <c r="C35" s="3" t="n"/>
      <c r="D35" s="3" t="n"/>
      <c r="E35" s="3" t="inlineStr">
        <is>
          <t>-Text: "Xác nhận"
-Background: blue (hoặc gray khi chưa đủ OTP)
-Status: enable</t>
        </is>
      </c>
      <c r="F35" s="3" t="inlineStr">
        <is>
          <t>-Button hiển thị đúng màu</t>
        </is>
      </c>
      <c r="G35" s="3" t="inlineStr">
        <is>
          <t>Passed</t>
        </is>
      </c>
      <c r="H35" s="3" t="inlineStr">
        <is>
          <t>2025-01-10</t>
        </is>
      </c>
      <c r="I35" s="16" t="inlineStr">
        <is>
          <t>Hiếu</t>
        </is>
      </c>
      <c r="J35" s="3" t="n"/>
      <c r="K35" s="3" t="n"/>
      <c r="L35" s="3" t="n"/>
      <c r="M35" s="3" t="n"/>
    </row>
    <row r="36" ht="60" customHeight="1">
      <c r="A36" s="3" t="inlineStr">
        <is>
          <t>GUI-QMK-B2-07</t>
        </is>
      </c>
      <c r="B36" s="3" t="inlineStr">
        <is>
          <t>[Gửi lại mã] Link</t>
        </is>
      </c>
      <c r="C36" s="3" t="n"/>
      <c r="D36" s="3" t="n"/>
      <c r="E36" s="3" t="inlineStr">
        <is>
          <t>-Text: "Gửi lại mã"
-Status: enable (hoặc disable khi còn đếm ngược)</t>
        </is>
      </c>
      <c r="F36" s="3" t="inlineStr">
        <is>
          <t>-Text: "Gửi lại mã"
-Status đúng theo trạng thái</t>
        </is>
      </c>
      <c r="G36" s="3" t="inlineStr">
        <is>
          <t>Passed</t>
        </is>
      </c>
      <c r="H36" s="3" t="inlineStr">
        <is>
          <t>2025-01-10</t>
        </is>
      </c>
      <c r="I36" s="16" t="inlineStr">
        <is>
          <t>Hiếu</t>
        </is>
      </c>
      <c r="J36" s="3" t="n"/>
      <c r="K36" s="3" t="n"/>
      <c r="L36" s="3" t="n"/>
      <c r="M36" s="3" t="n"/>
    </row>
    <row r="37" ht="50.1" customHeight="1">
      <c r="A37" s="3" t="inlineStr">
        <is>
          <t>GUI-QMK-B2-08</t>
        </is>
      </c>
      <c r="B37" s="3" t="inlineStr">
        <is>
          <t>[← Quay lại đăng nhập] Link</t>
        </is>
      </c>
      <c r="C37" s="3" t="n"/>
      <c r="D37" s="3" t="n"/>
      <c r="E37" s="3" t="inlineStr">
        <is>
          <t>-Text: "← Quay lại đăng nhập"
-Text color: blue
-Status: enable</t>
        </is>
      </c>
      <c r="F37" s="3" t="inlineStr">
        <is>
          <t>-Text: "← Quay lại đăng nhập"
-Text color: blue</t>
        </is>
      </c>
      <c r="G37" s="3" t="inlineStr">
        <is>
          <t>Passed</t>
        </is>
      </c>
      <c r="H37" s="3" t="inlineStr">
        <is>
          <t>2025-01-10</t>
        </is>
      </c>
      <c r="I37" s="16" t="inlineStr">
        <is>
          <t>Hiếu</t>
        </is>
      </c>
      <c r="J37" s="3" t="n"/>
      <c r="K37" s="3" t="n"/>
      <c r="L37" s="3" t="n"/>
      <c r="M37" s="3" t="n"/>
    </row>
    <row r="38" ht="16.5" customHeight="1">
      <c r="A38" s="13" t="inlineStr">
        <is>
          <t>FUNCTION_SHOW Bước 2 – Nhập mã OTP</t>
        </is>
      </c>
      <c r="B38" s="11" t="n"/>
      <c r="C38" s="11" t="n"/>
      <c r="D38" s="11" t="n"/>
      <c r="E38" s="11" t="n"/>
      <c r="F38" s="11" t="n"/>
      <c r="G38" s="11" t="n"/>
      <c r="H38" s="11" t="n"/>
      <c r="I38" s="11" t="n"/>
      <c r="J38" s="11" t="n"/>
      <c r="K38" s="11" t="n"/>
      <c r="L38" s="11" t="n"/>
      <c r="M38" s="12" t="n"/>
    </row>
    <row r="39" ht="81.95" customHeight="1">
      <c r="A39" s="3" t="inlineStr">
        <is>
          <t>FUNC-QMK-B2-01</t>
        </is>
      </c>
      <c r="B39" s="3" t="inlineStr">
        <is>
          <t>Nhập đúng mã OTP và xác nhận thành công</t>
        </is>
      </c>
      <c r="C39" s="3" t="inlineStr">
        <is>
          <t>1. Nhập đúng 6 chữ số OTP nhận được
2. Click "Xác nhận"</t>
        </is>
      </c>
      <c r="D39" s="3" t="inlineStr">
        <is>
          <t>Đã nhận được mã OTP hợp lệ qua email</t>
        </is>
      </c>
      <c r="E39" s="3" t="inlineStr">
        <is>
          <t>Chuyển sang Bước 3 (Đặt mật khẩu mới)</t>
        </is>
      </c>
      <c r="F39" s="3" t="inlineStr">
        <is>
          <t>Chuyển sang Bước 3 thành công</t>
        </is>
      </c>
      <c r="G39" s="3" t="inlineStr">
        <is>
          <t>Passed</t>
        </is>
      </c>
      <c r="H39" s="3" t="inlineStr">
        <is>
          <t>2025-01-10</t>
        </is>
      </c>
      <c r="I39" s="16" t="inlineStr">
        <is>
          <t>Hiếu</t>
        </is>
      </c>
      <c r="J39" s="3" t="n"/>
      <c r="K39" s="3" t="n"/>
      <c r="L39" s="3" t="n"/>
      <c r="M39" s="3" t="n"/>
    </row>
    <row r="40" ht="81.95" customHeight="1">
      <c r="A40" s="3" t="inlineStr">
        <is>
          <t>FUNC-QMK-B2-02</t>
        </is>
      </c>
      <c r="B40" s="3" t="inlineStr">
        <is>
          <t>Nhập sai mã OTP</t>
        </is>
      </c>
      <c r="C40" s="3" t="inlineStr">
        <is>
          <t>1. Nhập sai mã OTP
2. Click "Xác nhận"</t>
        </is>
      </c>
      <c r="D40" s="3" t="inlineStr">
        <is>
          <t>Đã nhận được mã OTP hợp lệ</t>
        </is>
      </c>
      <c r="E40" s="3" t="inlineStr">
        <is>
          <t>Thông báo lỗi: "Mã xác nhận không đúng, vui lòng thử lại"</t>
        </is>
      </c>
      <c r="F40" s="3" t="inlineStr">
        <is>
          <t>Thông báo lỗi: "Mã xác nhận không đúng"</t>
        </is>
      </c>
      <c r="G40" s="3" t="inlineStr">
        <is>
          <t>Passed</t>
        </is>
      </c>
      <c r="H40" s="3" t="inlineStr">
        <is>
          <t>2025-01-10</t>
        </is>
      </c>
      <c r="I40" s="16" t="inlineStr">
        <is>
          <t>Hiếu</t>
        </is>
      </c>
      <c r="J40" s="3" t="n"/>
      <c r="K40" s="3" t="n"/>
      <c r="L40" s="3" t="n"/>
      <c r="M40" s="3" t="n"/>
    </row>
    <row r="41" ht="66" customHeight="1">
      <c r="A41" s="3" t="inlineStr">
        <is>
          <t>FUNC-QMK-B2-03</t>
        </is>
      </c>
      <c r="B41" s="3" t="inlineStr">
        <is>
          <t>Để trống không nhập mã OTP</t>
        </is>
      </c>
      <c r="C41" s="3" t="inlineStr">
        <is>
          <t>1. Không nhập mã OTP
2. Click "Xác nhận"</t>
        </is>
      </c>
      <c r="D41" s="3" t="inlineStr">
        <is>
          <t>Đang ở Bước 2</t>
        </is>
      </c>
      <c r="E41" s="3" t="inlineStr">
        <is>
          <t>Thông báo lỗi: "Vui lòng nhập mã xác nhận"</t>
        </is>
      </c>
      <c r="F41" s="3" t="inlineStr">
        <is>
          <t>Thông báo lỗi: "Vui lòng nhập mã xác nhận"</t>
        </is>
      </c>
      <c r="G41" s="3" t="inlineStr">
        <is>
          <t>Passed</t>
        </is>
      </c>
      <c r="H41" s="3" t="inlineStr">
        <is>
          <t>2025-01-10</t>
        </is>
      </c>
      <c r="I41" s="16" t="inlineStr">
        <is>
          <t>Hiếu</t>
        </is>
      </c>
      <c r="J41" s="3" t="n"/>
      <c r="K41" s="3" t="n"/>
      <c r="L41" s="3" t="n"/>
      <c r="M41" s="3" t="n"/>
    </row>
    <row r="42" ht="81.95" customHeight="1">
      <c r="A42" s="3" t="inlineStr">
        <is>
          <t>FUNC-QMK-B2-04</t>
        </is>
      </c>
      <c r="B42" s="3" t="inlineStr">
        <is>
          <t>Mã OTP hết hiệu lực (countdown về 0:00)</t>
        </is>
      </c>
      <c r="C42" s="3" t="inlineStr">
        <is>
          <t>1. Chờ hết thời gian đếm ngược
2. Click "Xác nhận"</t>
        </is>
      </c>
      <c r="D42" s="3" t="inlineStr">
        <is>
          <t>Mã OTP đã hết hạn</t>
        </is>
      </c>
      <c r="E42" s="3" t="inlineStr">
        <is>
          <t>Thông báo: "Mã xác nhận đã hết hiệu lực, vui lòng gửi lại"</t>
        </is>
      </c>
      <c r="F42" s="3" t="inlineStr">
        <is>
          <t>Thông báo mã hết hiệu lực</t>
        </is>
      </c>
      <c r="G42" s="3" t="inlineStr">
        <is>
          <t>Passed</t>
        </is>
      </c>
      <c r="H42" s="3" t="inlineStr">
        <is>
          <t>2025-01-10</t>
        </is>
      </c>
      <c r="I42" s="16" t="inlineStr">
        <is>
          <t>Hiếu</t>
        </is>
      </c>
      <c r="J42" s="3" t="n"/>
      <c r="K42" s="3" t="n"/>
      <c r="L42" s="3" t="n"/>
      <c r="M42" s="3" t="n"/>
    </row>
    <row r="43" ht="81.95" customHeight="1">
      <c r="A43" s="3" t="inlineStr">
        <is>
          <t>FUNC-QMK-B2-05</t>
        </is>
      </c>
      <c r="B43" s="3" t="inlineStr">
        <is>
          <t>Click "Gửi lại mã" khi OTP hết hiệu lực</t>
        </is>
      </c>
      <c r="C43" s="3" t="inlineStr">
        <is>
          <t>1. Chờ hết countdown
2. Click "Gửi lại mã"</t>
        </is>
      </c>
      <c r="D43" s="3" t="inlineStr">
        <is>
          <t>Mã OTP đã hết hạn</t>
        </is>
      </c>
      <c r="E43" s="3" t="inlineStr">
        <is>
          <t>Gửi lại mã OTP mới, reset countdown, thông báo "Mã mới đã được gửi"</t>
        </is>
      </c>
      <c r="F43" s="3" t="inlineStr">
        <is>
          <t>Gửi lại mã mới và reset countdown</t>
        </is>
      </c>
      <c r="G43" s="3" t="inlineStr">
        <is>
          <t>Passed</t>
        </is>
      </c>
      <c r="H43" s="3" t="inlineStr">
        <is>
          <t>2025-01-10</t>
        </is>
      </c>
      <c r="I43" s="16" t="inlineStr">
        <is>
          <t>Hiếu</t>
        </is>
      </c>
      <c r="J43" s="3" t="n"/>
      <c r="K43" s="3" t="n"/>
      <c r="L43" s="3" t="n"/>
      <c r="M43" s="3" t="n"/>
    </row>
    <row r="44" ht="66" customHeight="1">
      <c r="A44" s="3" t="inlineStr">
        <is>
          <t>FUNC-QMK-B2-06</t>
        </is>
      </c>
      <c r="B44" s="3" t="inlineStr">
        <is>
          <t>Con trỏ tự động chuyển ô khi nhập đủ 1 ký tự</t>
        </is>
      </c>
      <c r="C44" s="3" t="inlineStr">
        <is>
          <t>1. Nhập ký tự vào ô OTP đầu tiên</t>
        </is>
      </c>
      <c r="D44" s="3" t="inlineStr">
        <is>
          <t>Đang ở Bước 2</t>
        </is>
      </c>
      <c r="E44" s="3" t="inlineStr">
        <is>
          <t>Con trỏ tự động chuyển sang ô kế tiếp</t>
        </is>
      </c>
      <c r="F44" s="3" t="inlineStr">
        <is>
          <t>Con trỏ tự động chuyển ô</t>
        </is>
      </c>
      <c r="G44" s="3" t="inlineStr">
        <is>
          <t>Passed</t>
        </is>
      </c>
      <c r="H44" s="3" t="inlineStr">
        <is>
          <t>2025-01-10</t>
        </is>
      </c>
      <c r="I44" s="16" t="inlineStr">
        <is>
          <t>Hiếu</t>
        </is>
      </c>
      <c r="J44" s="3" t="n"/>
      <c r="K44" s="3" t="n"/>
      <c r="L44" s="3" t="n"/>
      <c r="M44" s="3" t="n"/>
    </row>
    <row r="45" ht="50.1" customHeight="1">
      <c r="A45" s="3" t="inlineStr">
        <is>
          <t>FUNC-QMK-B2-07</t>
        </is>
      </c>
      <c r="B45" s="3" t="inlineStr">
        <is>
          <t>Click "← Quay lại đăng nhập"</t>
        </is>
      </c>
      <c r="C45" s="3" t="inlineStr">
        <is>
          <t>1. Click link "← Quay lại đăng nhập"</t>
        </is>
      </c>
      <c r="D45" s="3" t="inlineStr">
        <is>
          <t>Đang ở Bước 2</t>
        </is>
      </c>
      <c r="E45" s="3" t="inlineStr">
        <is>
          <t>Chuyển về màn hình Đăng Nhập</t>
        </is>
      </c>
      <c r="F45" s="3" t="inlineStr">
        <is>
          <t>Chuyển về màn hình Đăng Nhập</t>
        </is>
      </c>
      <c r="G45" s="3" t="inlineStr">
        <is>
          <t>Passed</t>
        </is>
      </c>
      <c r="H45" s="3" t="inlineStr">
        <is>
          <t>2025-01-10</t>
        </is>
      </c>
      <c r="I45" s="16" t="inlineStr">
        <is>
          <t>Hiếu</t>
        </is>
      </c>
      <c r="J45" s="3" t="n"/>
      <c r="K45" s="3" t="n"/>
      <c r="L45" s="3" t="n"/>
      <c r="M45" s="3" t="n"/>
    </row>
    <row r="46" ht="16.5" customHeight="1">
      <c r="A46" s="13" t="inlineStr">
        <is>
          <t>GUI_SHOW Bước 3 – Đặt mật khẩu mới</t>
        </is>
      </c>
      <c r="B46" s="11" t="n"/>
      <c r="C46" s="11" t="n"/>
      <c r="D46" s="11" t="n"/>
      <c r="E46" s="11" t="n"/>
      <c r="F46" s="11" t="n"/>
      <c r="G46" s="11" t="n"/>
      <c r="H46" s="11" t="n"/>
      <c r="I46" s="11" t="n"/>
      <c r="J46" s="11" t="n"/>
      <c r="K46" s="11" t="n"/>
      <c r="L46" s="11" t="n"/>
      <c r="M46" s="12" t="n"/>
    </row>
    <row r="47" ht="66" customHeight="1">
      <c r="A47" s="3" t="inlineStr">
        <is>
          <t>GUI-QMK-B3-01</t>
        </is>
      </c>
      <c r="B47" s="3" t="inlineStr">
        <is>
          <t>Thanh tiến trình (Bước 1, 2 hoàn thành, Bước 3 active)</t>
        </is>
      </c>
      <c r="C47" s="3" t="n"/>
      <c r="D47" s="3" t="n"/>
      <c r="E47" s="3" t="inlineStr">
        <is>
          <t>-Bước 1, 2: icon check xanh lá
-Bước 3: highlight
-Status: enable</t>
        </is>
      </c>
      <c r="F47" s="3" t="inlineStr">
        <is>
          <t>-Bước 1, 2: check
-Bước 3: active</t>
        </is>
      </c>
      <c r="G47" s="3" t="inlineStr">
        <is>
          <t>Passed</t>
        </is>
      </c>
      <c r="H47" s="3" t="inlineStr">
        <is>
          <t>2025-01-10</t>
        </is>
      </c>
      <c r="I47" s="16" t="inlineStr">
        <is>
          <t>Hiếu</t>
        </is>
      </c>
      <c r="J47" s="3" t="n"/>
      <c r="K47" s="3" t="n"/>
      <c r="L47" s="3" t="n"/>
      <c r="M47" s="3" t="n"/>
    </row>
    <row r="48" ht="60" customHeight="1">
      <c r="A48" s="3" t="inlineStr">
        <is>
          <t>GUI-QMK-B3-02</t>
        </is>
      </c>
      <c r="B48" s="3" t="inlineStr">
        <is>
          <t>[Mật Khẩu Mới] Label &amp; Textbox</t>
        </is>
      </c>
      <c r="C48" s="3" t="n"/>
      <c r="D48" s="3" t="n"/>
      <c r="E48" s="3" t="inlineStr">
        <is>
          <t>-Label: "MẬT KHẨU MỚI"
-Placeholder: "Nhập mật khẩu mới"
-Icon ẩn/hiện mật khẩu
-Status: enable</t>
        </is>
      </c>
      <c r="F48" s="3" t="inlineStr">
        <is>
          <t>-Label và textbox hiển thị đúng</t>
        </is>
      </c>
      <c r="G48" s="3" t="inlineStr">
        <is>
          <t>Passed</t>
        </is>
      </c>
      <c r="H48" s="3" t="inlineStr">
        <is>
          <t>2025-01-10</t>
        </is>
      </c>
      <c r="I48" s="16" t="inlineStr">
        <is>
          <t>Hiếu</t>
        </is>
      </c>
      <c r="J48" s="3" t="n"/>
      <c r="K48" s="3" t="n"/>
      <c r="L48" s="3" t="n"/>
      <c r="M48" s="3" t="n"/>
    </row>
    <row r="49" ht="60" customHeight="1">
      <c r="A49" s="3" t="inlineStr">
        <is>
          <t>GUI-QMK-B3-03</t>
        </is>
      </c>
      <c r="B49" s="3" t="inlineStr">
        <is>
          <t>[Xác Nhận Mật Khẩu] Label &amp; Textbox</t>
        </is>
      </c>
      <c r="C49" s="3" t="n"/>
      <c r="D49" s="3" t="n"/>
      <c r="E49" s="3" t="inlineStr">
        <is>
          <t>-Label: "XÁC NHẬN MẬT KHẨU"
-Placeholder: "Nhập lại mật khẩu"
-Icon ẩn/hiện mật khẩu
-Status: enable</t>
        </is>
      </c>
      <c r="F49" s="3" t="inlineStr">
        <is>
          <t>-Label và textbox hiển thị đúng</t>
        </is>
      </c>
      <c r="G49" s="3" t="inlineStr">
        <is>
          <t>Passed</t>
        </is>
      </c>
      <c r="H49" s="3" t="inlineStr">
        <is>
          <t>2025-01-10</t>
        </is>
      </c>
      <c r="I49" s="16" t="inlineStr">
        <is>
          <t>Hiếu</t>
        </is>
      </c>
      <c r="J49" s="3" t="n"/>
      <c r="K49" s="3" t="n"/>
      <c r="L49" s="3" t="n"/>
      <c r="M49" s="3" t="n"/>
    </row>
    <row r="50" ht="50.1" customHeight="1">
      <c r="A50" s="3" t="inlineStr">
        <is>
          <t>GUI-QMK-B3-04</t>
        </is>
      </c>
      <c r="B50" s="3" t="inlineStr">
        <is>
          <t>[Xác nhận] Button</t>
        </is>
      </c>
      <c r="C50" s="3" t="n"/>
      <c r="D50" s="3" t="n"/>
      <c r="E50" s="3" t="inlineStr">
        <is>
          <t>-Text: "Xác nhận"
-Background: blue
-Text color: white
-Status: enable</t>
        </is>
      </c>
      <c r="F50" s="3" t="inlineStr">
        <is>
          <t>-Button hiển thị đúng</t>
        </is>
      </c>
      <c r="G50" s="3" t="inlineStr">
        <is>
          <t>Passed</t>
        </is>
      </c>
      <c r="H50" s="3" t="inlineStr">
        <is>
          <t>2025-01-10</t>
        </is>
      </c>
      <c r="I50" s="16" t="inlineStr">
        <is>
          <t>Hiếu</t>
        </is>
      </c>
      <c r="J50" s="3" t="n"/>
      <c r="K50" s="3" t="n"/>
      <c r="L50" s="3" t="n"/>
      <c r="M50" s="3" t="n"/>
    </row>
    <row r="51" ht="16.5" customHeight="1">
      <c r="A51" s="13" t="inlineStr">
        <is>
          <t>FUNCTION_SHOW Bước 3 – Đặt mật khẩu mới</t>
        </is>
      </c>
      <c r="B51" s="11" t="n"/>
      <c r="C51" s="11" t="n"/>
      <c r="D51" s="11" t="n"/>
      <c r="E51" s="11" t="n"/>
      <c r="F51" s="11" t="n"/>
      <c r="G51" s="11" t="n"/>
      <c r="H51" s="11" t="n"/>
      <c r="I51" s="11" t="n"/>
      <c r="J51" s="11" t="n"/>
      <c r="K51" s="11" t="n"/>
      <c r="L51" s="11" t="n"/>
      <c r="M51" s="12" t="n"/>
    </row>
    <row r="52" ht="81.95" customHeight="1">
      <c r="A52" s="3" t="inlineStr">
        <is>
          <t>FUNC-QMK-B3-01</t>
        </is>
      </c>
      <c r="B52" s="3" t="inlineStr">
        <is>
          <t>Đặt mật khẩu mới thành công</t>
        </is>
      </c>
      <c r="C52" s="3" t="inlineStr">
        <is>
          <t>1. Nhập mật khẩu mới hợp lệ (≥8 ký tự)
2. Nhập lại mật khẩu khớp
3. Click "Xác nhận"</t>
        </is>
      </c>
      <c r="D52" s="3" t="inlineStr">
        <is>
          <t>Đang ở Bước 3</t>
        </is>
      </c>
      <c r="E52" s="3" t="inlineStr">
        <is>
          <t>Thông báo thành công, chuyển về màn hình Đăng Nhập</t>
        </is>
      </c>
      <c r="F52" s="3" t="inlineStr">
        <is>
          <t>Đổi mật khẩu thành công, chuyển về Đăng Nhập</t>
        </is>
      </c>
      <c r="G52" s="3" t="inlineStr">
        <is>
          <t>Passed</t>
        </is>
      </c>
      <c r="H52" s="3" t="inlineStr">
        <is>
          <t>2025-01-10</t>
        </is>
      </c>
      <c r="I52" s="16" t="inlineStr">
        <is>
          <t>Hiếu</t>
        </is>
      </c>
      <c r="J52" s="3" t="n"/>
      <c r="K52" s="3" t="n"/>
      <c r="L52" s="3" t="n"/>
      <c r="M52" s="3" t="n"/>
    </row>
    <row r="53" ht="66" customHeight="1">
      <c r="A53" s="3" t="inlineStr">
        <is>
          <t>FUNC-QMK-B3-02</t>
        </is>
      </c>
      <c r="B53" s="3" t="inlineStr">
        <is>
          <t>Mật khẩu mới quá ngắn (&lt; 8 ký tự)</t>
        </is>
      </c>
      <c r="C53" s="3" t="inlineStr">
        <is>
          <t>1. Nhập mật khẩu mới ít hơn 8 ký tự
2. Click "Xác nhận"</t>
        </is>
      </c>
      <c r="D53" s="3" t="inlineStr">
        <is>
          <t>Đang ở Bước 3</t>
        </is>
      </c>
      <c r="E53" s="3" t="inlineStr">
        <is>
          <t>Thông báo lỗi: "Mật khẩu phải có ít nhất 8 ký tự"</t>
        </is>
      </c>
      <c r="F53" s="3" t="inlineStr">
        <is>
          <t>Thông báo lỗi đúng</t>
        </is>
      </c>
      <c r="G53" s="3" t="inlineStr">
        <is>
          <t>Passed</t>
        </is>
      </c>
      <c r="H53" s="3" t="inlineStr">
        <is>
          <t>2025-01-10</t>
        </is>
      </c>
      <c r="I53" s="16" t="inlineStr">
        <is>
          <t>Hiếu</t>
        </is>
      </c>
      <c r="J53" s="3" t="n"/>
      <c r="K53" s="3" t="n"/>
      <c r="L53" s="3" t="n"/>
      <c r="M53" s="3" t="n"/>
    </row>
    <row r="54" ht="66" customHeight="1">
      <c r="A54" s="3" t="inlineStr">
        <is>
          <t>FUNC-QMK-B3-03</t>
        </is>
      </c>
      <c r="B54" s="3" t="inlineStr">
        <is>
          <t>Mật khẩu xác nhận không khớp</t>
        </is>
      </c>
      <c r="C54" s="3" t="inlineStr">
        <is>
          <t>1. Nhập mật khẩu mới
2. Nhập lại mật khẩu khác
3. Click "Xác nhận"</t>
        </is>
      </c>
      <c r="D54" s="3" t="inlineStr">
        <is>
          <t>Đang ở Bước 3</t>
        </is>
      </c>
      <c r="E54" s="3" t="inlineStr">
        <is>
          <t>Thông báo lỗi: "Mật khẩu xác nhận không khớp"</t>
        </is>
      </c>
      <c r="F54" s="3" t="inlineStr">
        <is>
          <t>Thông báo lỗi: "Mật khẩu xác nhận không khớp"</t>
        </is>
      </c>
      <c r="G54" s="3" t="inlineStr">
        <is>
          <t>Passed</t>
        </is>
      </c>
      <c r="H54" s="3" t="inlineStr">
        <is>
          <t>2025-01-10</t>
        </is>
      </c>
      <c r="I54" s="16" t="inlineStr">
        <is>
          <t>Hiếu</t>
        </is>
      </c>
      <c r="J54" s="3" t="n"/>
      <c r="K54" s="3" t="n"/>
      <c r="L54" s="3" t="n"/>
      <c r="M54" s="3" t="n"/>
    </row>
    <row r="55" ht="66" customHeight="1">
      <c r="A55" s="3" t="inlineStr">
        <is>
          <t>FUNC-QMK-B3-04</t>
        </is>
      </c>
      <c r="B55" s="3" t="inlineStr">
        <is>
          <t>Để trống cả hai trường mật khẩu</t>
        </is>
      </c>
      <c r="C55" s="3" t="inlineStr">
        <is>
          <t>1. Để trống cả hai trường
2. Click "Xác nhận"</t>
        </is>
      </c>
      <c r="D55" s="3" t="inlineStr">
        <is>
          <t>Đang ở Bước 3</t>
        </is>
      </c>
      <c r="E55" s="3" t="inlineStr">
        <is>
          <t>Thông báo lỗi yêu cầu nhập đầy đủ</t>
        </is>
      </c>
      <c r="F55" s="3" t="inlineStr">
        <is>
          <t>Thông báo lỗi đầy đủ</t>
        </is>
      </c>
      <c r="G55" s="3" t="inlineStr">
        <is>
          <t>Passed</t>
        </is>
      </c>
      <c r="H55" s="3" t="inlineStr">
        <is>
          <t>2025-01-10</t>
        </is>
      </c>
      <c r="I55" s="16" t="inlineStr">
        <is>
          <t>Hiếu</t>
        </is>
      </c>
      <c r="J55" s="3" t="n"/>
      <c r="K55" s="3" t="n"/>
      <c r="L55" s="3" t="n"/>
      <c r="M55" s="3" t="n"/>
    </row>
    <row r="56" ht="81.95" customHeight="1">
      <c r="A56" s="3" t="inlineStr">
        <is>
          <t>FUNC-QMK-B3-05</t>
        </is>
      </c>
      <c r="B56" s="3" t="inlineStr">
        <is>
          <t>Mật khẩu mới trùng với mật khẩu cũ</t>
        </is>
      </c>
      <c r="C56" s="3" t="inlineStr">
        <is>
          <t>1. Nhập mật khẩu mới giống mật khẩu cũ
2. Click "Xác nhận"</t>
        </is>
      </c>
      <c r="D56" s="3" t="inlineStr">
        <is>
          <t>Đang ở Bước 3</t>
        </is>
      </c>
      <c r="E56" s="3" t="inlineStr">
        <is>
          <t>Thông báo lỗi: "Mật khẩu mới không được trùng với mật khẩu cũ"</t>
        </is>
      </c>
      <c r="F56" s="3" t="inlineStr">
        <is>
          <t>Thông báo lỗi đúng</t>
        </is>
      </c>
      <c r="G56" s="3" t="inlineStr">
        <is>
          <t>Passed</t>
        </is>
      </c>
      <c r="H56" s="3" t="inlineStr">
        <is>
          <t>2025-01-10</t>
        </is>
      </c>
      <c r="I56" s="16" t="inlineStr">
        <is>
          <t>Hiếu</t>
        </is>
      </c>
      <c r="J56" s="3" t="n"/>
      <c r="K56" s="3" t="n"/>
      <c r="L56" s="3" t="n"/>
      <c r="M56" s="3" t="n"/>
    </row>
  </sheetData>
  <mergeCells count="19">
    <mergeCell ref="A12:A14"/>
    <mergeCell ref="M12:M14"/>
    <mergeCell ref="A23:M23"/>
    <mergeCell ref="C12:C14"/>
    <mergeCell ref="G13:I13"/>
    <mergeCell ref="D12:D14"/>
    <mergeCell ref="A29:M29"/>
    <mergeCell ref="A38:M38"/>
    <mergeCell ref="B2:F2"/>
    <mergeCell ref="E12:E14"/>
    <mergeCell ref="B1:F1"/>
    <mergeCell ref="A15:M15"/>
    <mergeCell ref="J12:L12"/>
    <mergeCell ref="A51:M51"/>
    <mergeCell ref="B12:B14"/>
    <mergeCell ref="G12:I12"/>
    <mergeCell ref="A46:M46"/>
    <mergeCell ref="F12:F14"/>
    <mergeCell ref="J13:L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t="inlineStr">
        <is>
          <t>Project Name</t>
        </is>
      </c>
      <c r="B1" t="inlineStr">
        <is>
          <t>Thiet ke va phat trien he thong dieu phoi cuu ho thong minh trong thien tai dua tren phan tich muc do khan cap</t>
        </is>
      </c>
    </row>
    <row r="2">
      <c r="A2" t="inlineStr">
        <is>
          <t>Module Code</t>
        </is>
      </c>
      <c r="B2" t="inlineStr">
        <is>
          <t>Dang Xuat</t>
        </is>
      </c>
    </row>
    <row r="3">
      <c r="B3" t="inlineStr">
        <is>
          <t>Hoan thanh</t>
        </is>
      </c>
      <c r="C3" t="inlineStr">
        <is>
          <t>Loi</t>
        </is>
      </c>
      <c r="D3" t="inlineStr">
        <is>
          <t>Chua kiem tra</t>
        </is>
      </c>
      <c r="E3" t="inlineStr">
        <is>
          <t>Bi chan</t>
        </is>
      </c>
      <c r="F3" t="inlineStr">
        <is>
          <t>Tong so truong hop thi nghiem</t>
        </is>
      </c>
    </row>
    <row r="4">
      <c r="A4" t="inlineStr">
        <is>
          <t>Round 1</t>
        </is>
      </c>
      <c r="B4">
        <f>COUNTIF(G16:G60,"Passed")</f>
        <v/>
      </c>
      <c r="C4">
        <f>COUNTIF(G16:G60,"Failed")</f>
        <v/>
      </c>
      <c r="D4">
        <f>COUNTIF(G16:G60,"Untested")</f>
        <v/>
      </c>
      <c r="E4">
        <f>COUNTIF(G16:G60,"Blocked")</f>
        <v/>
      </c>
      <c r="F4">
        <f>COUNTA(A16:A60)</f>
        <v/>
      </c>
    </row>
    <row r="5">
      <c r="A5" t="inlineStr">
        <is>
          <t>Round 2</t>
        </is>
      </c>
      <c r="B5">
        <f>COUNTIF(J16:J60,"Passed")</f>
        <v/>
      </c>
      <c r="C5">
        <f>COUNTIF(J16:J60,"Failed")</f>
        <v/>
      </c>
      <c r="D5">
        <f>COUNTIF(J16:J60,"Untested")</f>
        <v/>
      </c>
      <c r="E5">
        <f>COUNTIF(J16:J60,"Blocked")</f>
        <v/>
      </c>
      <c r="F5">
        <f>COUNTA(A16:A60)</f>
        <v/>
      </c>
    </row>
    <row r="12">
      <c r="A12" t="inlineStr">
        <is>
          <t>Test Case ID</t>
        </is>
      </c>
      <c r="B12" t="inlineStr">
        <is>
          <t>Mo ta</t>
        </is>
      </c>
      <c r="C12" t="inlineStr">
        <is>
          <t>Hanh dong</t>
        </is>
      </c>
      <c r="D12" t="inlineStr">
        <is>
          <t>Dieu kien tien quyet</t>
        </is>
      </c>
      <c r="E12" t="inlineStr">
        <is>
          <t>Ket qua mong doi</t>
        </is>
      </c>
      <c r="F12" t="inlineStr">
        <is>
          <t>Ket qua thuc te</t>
        </is>
      </c>
      <c r="G12" t="inlineStr">
        <is>
          <t>Ket qua</t>
        </is>
      </c>
      <c r="J12" t="inlineStr">
        <is>
          <t>Ket qua</t>
        </is>
      </c>
      <c r="M12" t="inlineStr">
        <is>
          <t>Chu thich</t>
        </is>
      </c>
    </row>
    <row r="13">
      <c r="G13" t="inlineStr">
        <is>
          <t>Vong 1</t>
        </is>
      </c>
      <c r="J13" t="inlineStr">
        <is>
          <t>Vong 2</t>
        </is>
      </c>
    </row>
    <row r="14">
      <c r="G14" t="inlineStr">
        <is>
          <t>Trang thai</t>
        </is>
      </c>
      <c r="H14" t="inlineStr">
        <is>
          <t>Ngay kiem tra</t>
        </is>
      </c>
      <c r="I14" t="inlineStr">
        <is>
          <t>Nguoi kiem tra</t>
        </is>
      </c>
      <c r="J14" t="inlineStr">
        <is>
          <t>Trang thai</t>
        </is>
      </c>
      <c r="K14" t="inlineStr">
        <is>
          <t>Ngay kiem tra</t>
        </is>
      </c>
      <c r="L14" t="inlineStr">
        <is>
          <t>Nguoi kiem tra</t>
        </is>
      </c>
    </row>
    <row r="15">
      <c r="A15" t="inlineStr">
        <is>
          <t>GUI_SHOW Trang dang xuat / Menu</t>
        </is>
      </c>
    </row>
    <row r="16">
      <c r="A16" t="inlineStr">
        <is>
          <t>GUI-DX01</t>
        </is>
      </c>
      <c r="B16" t="inlineStr">
        <is>
          <t>[Menu nguoi dung] Nut Dang Xuat</t>
        </is>
      </c>
      <c r="C16" t="inlineStr">
        <is>
          <t>Kiem tra UI menu</t>
        </is>
      </c>
      <c r="D16" t="inlineStr">
        <is>
          <t>Da dang nhap he thong</t>
        </is>
      </c>
      <c r="E16" t="inlineStr">
        <is>
          <t>-Hien thi tuy chon "Dang Xuat" trong menu/avatar
-Status: enable</t>
        </is>
      </c>
      <c r="F16" t="inlineStr"/>
      <c r="G16" t="inlineStr">
        <is>
          <t>Untested</t>
        </is>
      </c>
    </row>
    <row r="17">
      <c r="A17" t="inlineStr">
        <is>
          <t>GUI-DX02</t>
        </is>
      </c>
      <c r="B17" t="inlineStr">
        <is>
          <t>[Hop thoai xac nhan] Dialog</t>
        </is>
      </c>
      <c r="C17" t="inlineStr">
        <is>
          <t>Kiem tra dialog xac nhan</t>
        </is>
      </c>
      <c r="D17" t="inlineStr">
        <is>
          <t>Click nut Dang Xuat</t>
        </is>
      </c>
      <c r="E17" t="inlineStr">
        <is>
          <t>-Title: "Xac nhan dang xuat"
-Co nut "Xac nhan" va "Huy"
-Khong tu dong dong
-Status: enable</t>
        </is>
      </c>
      <c r="F17" t="inlineStr"/>
      <c r="G17" t="inlineStr">
        <is>
          <t>Untested</t>
        </is>
      </c>
    </row>
    <row r="18">
      <c r="A18" t="inlineStr">
        <is>
          <t>GUI-DX03</t>
        </is>
      </c>
      <c r="B18" t="inlineStr">
        <is>
          <t>[Icon dang xuat] Trong sidebar/topbar</t>
        </is>
      </c>
      <c r="C18" t="inlineStr">
        <is>
          <t>Kiem tra hien thi icon</t>
        </is>
      </c>
      <c r="D18" t="inlineStr">
        <is>
          <t>Da dang nhap</t>
        </is>
      </c>
      <c r="E18" t="inlineStr">
        <is>
          <t>-Icon dang xuat hien thi ro rang
-Co tooltip khi hover</t>
        </is>
      </c>
      <c r="F18" t="inlineStr"/>
      <c r="G18" t="inlineStr">
        <is>
          <t>Untested</t>
        </is>
      </c>
    </row>
    <row r="19">
      <c r="A19" t="inlineStr">
        <is>
          <t>FUNCTION_SHOW Chuc nang dang xuat</t>
        </is>
      </c>
    </row>
    <row r="20">
      <c r="A20" t="inlineStr">
        <is>
          <t>FUNC-DX01</t>
        </is>
      </c>
      <c r="B20" t="inlineStr">
        <is>
          <t>Dang xuat thanh cong</t>
        </is>
      </c>
      <c r="C20" t="inlineStr">
        <is>
          <t>1. Click nut "Dang Xuat"
2. Click "Xac nhan" trong dialog</t>
        </is>
      </c>
      <c r="D20" t="inlineStr">
        <is>
          <t>Da dang nhap he thong</t>
        </is>
      </c>
      <c r="E20" t="inlineStr">
        <is>
          <t>Dang xuat thanh cong, session bi xoa, chuyen ve man hinh Dang Nhap</t>
        </is>
      </c>
      <c r="F20" t="inlineStr"/>
      <c r="G20" t="inlineStr">
        <is>
          <t>Untested</t>
        </is>
      </c>
    </row>
    <row r="21">
      <c r="A21" t="inlineStr">
        <is>
          <t>FUNC-DX02</t>
        </is>
      </c>
      <c r="B21" t="inlineStr">
        <is>
          <t>Huy dang xuat - chon "Huy"</t>
        </is>
      </c>
      <c r="C21" t="inlineStr">
        <is>
          <t>1. Click nut "Dang Xuat"
2. Click "Huy" trong dialog</t>
        </is>
      </c>
      <c r="D21" t="inlineStr">
        <is>
          <t>Da dang nhap he thong</t>
        </is>
      </c>
      <c r="E21" t="inlineStr">
        <is>
          <t>He thong giu nguyen trang thai dang nhap, dialog dong lai</t>
        </is>
      </c>
      <c r="F21" t="inlineStr"/>
      <c r="G21" t="inlineStr">
        <is>
          <t>Untested</t>
        </is>
      </c>
    </row>
    <row r="22">
      <c r="A22" t="inlineStr">
        <is>
          <t>FUNC-DX03</t>
        </is>
      </c>
      <c r="B22" t="inlineStr">
        <is>
          <t>Huy dang xuat - bam phim Esc</t>
        </is>
      </c>
      <c r="C22" t="inlineStr">
        <is>
          <t>1. Click nut "Dang Xuat"
2. Bam phim Esc</t>
        </is>
      </c>
      <c r="D22" t="inlineStr">
        <is>
          <t>Da dang nhap he thong</t>
        </is>
      </c>
      <c r="E22" t="inlineStr">
        <is>
          <t>Dialog dong lai, he thong giu nguyen trang thai dang nhap</t>
        </is>
      </c>
      <c r="F22" t="inlineStr"/>
      <c r="G22" t="inlineStr">
        <is>
          <t>Untested</t>
        </is>
      </c>
    </row>
    <row r="23">
      <c r="A23" t="inlineStr">
        <is>
          <t>FUNC-DX04</t>
        </is>
      </c>
      <c r="B23" t="inlineStr">
        <is>
          <t>Sau dang xuat khong the truy cap trang can dang nhap</t>
        </is>
      </c>
      <c r="C23" t="inlineStr">
        <is>
          <t>1. Dang xuat thanh cong
2. Nhap truc tiep URL trang chinh vao trinh duyet</t>
        </is>
      </c>
      <c r="D23" t="inlineStr">
        <is>
          <t>Da dang xuat</t>
        </is>
      </c>
      <c r="E23" t="inlineStr">
        <is>
          <t>He thong tu dong chuyen huong ve trang Dang Nhap</t>
        </is>
      </c>
      <c r="F23" t="inlineStr"/>
      <c r="G23" t="inlineStr">
        <is>
          <t>Untested</t>
        </is>
      </c>
    </row>
    <row r="24">
      <c r="A24" t="inlineStr">
        <is>
          <t>FUNC-DX05</t>
        </is>
      </c>
      <c r="B24" t="inlineStr">
        <is>
          <t>Token / Session bi huy sau dang xuat</t>
        </is>
      </c>
      <c r="C24" t="inlineStr">
        <is>
          <t>1. Dang xuat
2. Dung DevTools / Postman goi API voi token cu</t>
        </is>
      </c>
      <c r="D24" t="inlineStr">
        <is>
          <t>Da dang xuat</t>
        </is>
      </c>
      <c r="E24" t="inlineStr">
        <is>
          <t>API tra ve 401 Unauthorized, token khong con hieu luc</t>
        </is>
      </c>
      <c r="F24" t="inlineStr"/>
      <c r="G24" t="inlineStr">
        <is>
          <t>Untested</t>
        </is>
      </c>
    </row>
    <row r="25">
      <c r="A25" t="inlineStr">
        <is>
          <t>FUNC-DX06</t>
        </is>
      </c>
      <c r="B25" t="inlineStr">
        <is>
          <t>Dang xuat tren mot tab, kiem tra tab khac</t>
        </is>
      </c>
      <c r="C25" t="inlineStr">
        <is>
          <t>1. Mo 2 tab cung dang nhap
2. Dang xuat tren Tab 1
3. Thao tac tren Tab 2</t>
        </is>
      </c>
      <c r="D25" t="inlineStr">
        <is>
          <t>Da dang nhap tren 2 tab</t>
        </is>
      </c>
      <c r="E25" t="inlineStr">
        <is>
          <t>Tab 2 chuyen ve man hinh dang nhap hoac thong bao het phien</t>
        </is>
      </c>
      <c r="F25" t="inlineStr"/>
      <c r="G25" t="inlineStr">
        <is>
          <t>Untested</t>
        </is>
      </c>
    </row>
    <row r="26">
      <c r="A26" t="inlineStr">
        <is>
          <t>FUNC-DX07</t>
        </is>
      </c>
      <c r="B26" t="inlineStr">
        <is>
          <t>Dang xuat khi mat mang</t>
        </is>
      </c>
      <c r="C26" t="inlineStr">
        <is>
          <t>1. Tat ket noi mang
2. Click Dang Xuat
3. Xac nhan</t>
        </is>
      </c>
      <c r="D26" t="inlineStr">
        <is>
          <t>Da dang nhap, mat ket noi</t>
        </is>
      </c>
      <c r="E26" t="inlineStr">
        <is>
          <t>He thong xoa session cuc bo, chuyen ve man hinh Dang Nhap khi co mang</t>
        </is>
      </c>
      <c r="F26" t="inlineStr"/>
      <c r="G26" t="inlineStr">
        <is>
          <t>Untested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t="inlineStr">
        <is>
          <t>Project Name</t>
        </is>
      </c>
      <c r="B1" t="inlineStr">
        <is>
          <t>Thiet ke va phat trien he thong dieu phoi cuu ho thong minh trong thien tai dua tren phan tich muc do khan cap</t>
        </is>
      </c>
    </row>
    <row r="2">
      <c r="A2" t="inlineStr">
        <is>
          <t>Module Code</t>
        </is>
      </c>
      <c r="B2" t="inlineStr">
        <is>
          <t>Gui Yeu Cau Cuu Ho</t>
        </is>
      </c>
    </row>
    <row r="3">
      <c r="B3" t="inlineStr">
        <is>
          <t>Hoan thanh</t>
        </is>
      </c>
      <c r="C3" t="inlineStr">
        <is>
          <t>Loi</t>
        </is>
      </c>
      <c r="D3" t="inlineStr">
        <is>
          <t>Chua kiem tra</t>
        </is>
      </c>
      <c r="E3" t="inlineStr">
        <is>
          <t>Bi chan</t>
        </is>
      </c>
      <c r="F3" t="inlineStr">
        <is>
          <t>Tong so truong hop thi nghiem</t>
        </is>
      </c>
    </row>
    <row r="4">
      <c r="A4" t="inlineStr">
        <is>
          <t>Round 1</t>
        </is>
      </c>
      <c r="B4">
        <f>COUNTIF(G16:G60,"Passed")</f>
        <v/>
      </c>
      <c r="C4">
        <f>COUNTIF(G16:G60,"Failed")</f>
        <v/>
      </c>
      <c r="D4">
        <f>COUNTIF(G16:G60,"Untested")</f>
        <v/>
      </c>
      <c r="E4">
        <f>COUNTIF(G16:G60,"Blocked")</f>
        <v/>
      </c>
      <c r="F4">
        <f>COUNTA(A16:A60)</f>
        <v/>
      </c>
    </row>
    <row r="5">
      <c r="A5" t="inlineStr">
        <is>
          <t>Round 2</t>
        </is>
      </c>
      <c r="B5">
        <f>COUNTIF(J16:J60,"Passed")</f>
        <v/>
      </c>
      <c r="C5">
        <f>COUNTIF(J16:J60,"Failed")</f>
        <v/>
      </c>
      <c r="D5">
        <f>COUNTIF(J16:J60,"Untested")</f>
        <v/>
      </c>
      <c r="E5">
        <f>COUNTIF(J16:J60,"Blocked")</f>
        <v/>
      </c>
      <c r="F5">
        <f>COUNTA(A16:A60)</f>
        <v/>
      </c>
    </row>
    <row r="12">
      <c r="A12" t="inlineStr">
        <is>
          <t>Test Case ID</t>
        </is>
      </c>
      <c r="B12" t="inlineStr">
        <is>
          <t>Mo ta</t>
        </is>
      </c>
      <c r="C12" t="inlineStr">
        <is>
          <t>Hanh dong</t>
        </is>
      </c>
      <c r="D12" t="inlineStr">
        <is>
          <t>Dieu kien tien quyet</t>
        </is>
      </c>
      <c r="E12" t="inlineStr">
        <is>
          <t>Ket qua mong doi</t>
        </is>
      </c>
      <c r="F12" t="inlineStr">
        <is>
          <t>Ket qua thuc te</t>
        </is>
      </c>
      <c r="G12" t="inlineStr">
        <is>
          <t>Ket qua</t>
        </is>
      </c>
      <c r="J12" t="inlineStr">
        <is>
          <t>Ket qua</t>
        </is>
      </c>
      <c r="M12" t="inlineStr">
        <is>
          <t>Chu thich</t>
        </is>
      </c>
    </row>
    <row r="13">
      <c r="G13" t="inlineStr">
        <is>
          <t>Vong 1</t>
        </is>
      </c>
      <c r="J13" t="inlineStr">
        <is>
          <t>Vong 2</t>
        </is>
      </c>
    </row>
    <row r="14">
      <c r="G14" t="inlineStr">
        <is>
          <t>Trang thai</t>
        </is>
      </c>
      <c r="H14" t="inlineStr">
        <is>
          <t>Ngay kiem tra</t>
        </is>
      </c>
      <c r="I14" t="inlineStr">
        <is>
          <t>Nguoi kiem tra</t>
        </is>
      </c>
      <c r="J14" t="inlineStr">
        <is>
          <t>Trang thai</t>
        </is>
      </c>
      <c r="K14" t="inlineStr">
        <is>
          <t>Ngay kiem tra</t>
        </is>
      </c>
      <c r="L14" t="inlineStr">
        <is>
          <t>Nguoi kiem tra</t>
        </is>
      </c>
    </row>
    <row r="15">
      <c r="A15" t="inlineStr">
        <is>
          <t>GUI_SHOW Trang gui yeu cau cuu ho</t>
        </is>
      </c>
    </row>
    <row r="16">
      <c r="A16" t="inlineStr">
        <is>
          <t>GUI-GYC01</t>
        </is>
      </c>
      <c r="B16" t="inlineStr">
        <is>
          <t>[Title] Tieu de trang gui yeu cau</t>
        </is>
      </c>
      <c r="C16" t="inlineStr">
        <is>
          <t>Kiem tra giao dien tieu de</t>
        </is>
      </c>
      <c r="D16" t="inlineStr">
        <is>
          <t>Da dang nhap, la nguoi dan</t>
        </is>
      </c>
      <c r="E16" t="inlineStr">
        <is>
          <t>-Title: "Gui yeu cau cuu ho"
-Hien thi ro rang tren dau trang
-Status: enable</t>
        </is>
      </c>
      <c r="F16" t="inlineStr"/>
      <c r="G16" t="inlineStr">
        <is>
          <t>Untested</t>
        </is>
      </c>
    </row>
    <row r="17">
      <c r="A17" t="inlineStr">
        <is>
          <t>GUI-GYC02</t>
        </is>
      </c>
      <c r="B17" t="inlineStr">
        <is>
          <t>[Loai su co] Dropdown chon loai su co</t>
        </is>
      </c>
      <c r="C17" t="inlineStr">
        <is>
          <t>Kiem tra dropdown</t>
        </is>
      </c>
      <c r="D17" t="inlineStr">
        <is>
          <t>Da dang nhap</t>
        </is>
      </c>
      <c r="E17" t="inlineStr">
        <is>
          <t>-Dropdown hien thi cac loai: Lu lut, Chay, Dong dat, Sat lo, Bao...
-Co gia tri mac dinh "Chon loai su co"
-Status: enable</t>
        </is>
      </c>
      <c r="F17" t="inlineStr"/>
      <c r="G17" t="inlineStr">
        <is>
          <t>Untested</t>
        </is>
      </c>
    </row>
    <row r="18">
      <c r="A18" t="inlineStr">
        <is>
          <t>GUI-GYC03</t>
        </is>
      </c>
      <c r="B18" t="inlineStr">
        <is>
          <t>[Mo ta tinh huong] Textbox nhap mo ta</t>
        </is>
      </c>
      <c r="C18" t="inlineStr">
        <is>
          <t>Kiem tra o mo ta</t>
        </is>
      </c>
      <c r="D18" t="inlineStr">
        <is>
          <t>Da dang nhap</t>
        </is>
      </c>
      <c r="E18" t="inlineStr">
        <is>
          <t>-Placeholder: "Mo ta chi tiet tinh huong khan cap"
-Cho phep nhap nhieu dong
-Gioi han 500 ky tu
-Status: enable</t>
        </is>
      </c>
      <c r="F18" t="inlineStr"/>
      <c r="G18" t="inlineStr">
        <is>
          <t>Untested</t>
        </is>
      </c>
    </row>
    <row r="19">
      <c r="A19" t="inlineStr">
        <is>
          <t>GUI-GYC04</t>
        </is>
      </c>
      <c r="B19" t="inlineStr">
        <is>
          <t>[Vi tri] Field vi tri + nut lay GPS</t>
        </is>
      </c>
      <c r="C19" t="inlineStr">
        <is>
          <t>Kiem tra vi tri field</t>
        </is>
      </c>
      <c r="D19" t="inlineStr">
        <is>
          <t>Da dang nhap</t>
        </is>
      </c>
      <c r="E19" t="inlineStr">
        <is>
          <t>-Hien thi vi tri GPS hien tai hoac cho phep nhap thu cong
-Nut "Lay vi tri hien tai"
-Hien thi toa do hoac dia chi
-Status: enable</t>
        </is>
      </c>
      <c r="F19" t="inlineStr"/>
      <c r="G19" t="inlineStr">
        <is>
          <t>Untested</t>
        </is>
      </c>
    </row>
    <row r="20">
      <c r="A20" t="inlineStr">
        <is>
          <t>GUI-GYC05</t>
        </is>
      </c>
      <c r="B20" t="inlineStr">
        <is>
          <t>[So nguoi can ho tro] Input so nguoi</t>
        </is>
      </c>
      <c r="C20" t="inlineStr">
        <is>
          <t>Kiem tra input so luong</t>
        </is>
      </c>
      <c r="D20" t="inlineStr">
        <is>
          <t>Da dang nhap</t>
        </is>
      </c>
      <c r="E20" t="inlineStr">
        <is>
          <t>-Placeholder: "Nhap so nguoi can ho tro"
-Chi chap nhan so nguyen duong
-Status: enable</t>
        </is>
      </c>
      <c r="F20" t="inlineStr"/>
      <c r="G20" t="inlineStr">
        <is>
          <t>Untested</t>
        </is>
      </c>
    </row>
    <row r="21">
      <c r="A21" t="inlineStr">
        <is>
          <t>GUI-GYC06</t>
        </is>
      </c>
      <c r="B21" t="inlineStr">
        <is>
          <t>[Muc do khan cap] Radio / Dropdown</t>
        </is>
      </c>
      <c r="C21" t="inlineStr">
        <is>
          <t>Kiem tra chon muc do</t>
        </is>
      </c>
      <c r="D21" t="inlineStr">
        <is>
          <t>Da dang nhap</t>
        </is>
      </c>
      <c r="E21" t="inlineStr">
        <is>
          <t>-Cac muc: Khan cap, Cao, Trung binh, Thap
-Mac dinh: Trung binh
-Status: enable</t>
        </is>
      </c>
      <c r="F21" t="inlineStr"/>
      <c r="G21" t="inlineStr">
        <is>
          <t>Untested</t>
        </is>
      </c>
    </row>
    <row r="22">
      <c r="A22" t="inlineStr">
        <is>
          <t>GUI-GYC07</t>
        </is>
      </c>
      <c r="B22" t="inlineStr">
        <is>
          <t>[Anh/Video minh chung] Upload component</t>
        </is>
      </c>
      <c r="C22" t="inlineStr">
        <is>
          <t>Kiem tra upload</t>
        </is>
      </c>
      <c r="D22" t="inlineStr">
        <is>
          <t>Da dang nhap</t>
        </is>
      </c>
      <c r="E22" t="inlineStr">
        <is>
          <t>-Nut "Chon anh / video"
-Hien thi preview anh da chon
-Cho phep chon nhieu anh (toi da 5)
-Status: enable</t>
        </is>
      </c>
      <c r="F22" t="inlineStr"/>
      <c r="G22" t="inlineStr">
        <is>
          <t>Untested</t>
        </is>
      </c>
    </row>
    <row r="23">
      <c r="A23" t="inlineStr">
        <is>
          <t>GUI-GYC08</t>
        </is>
      </c>
      <c r="B23" t="inlineStr">
        <is>
          <t>[Gui yeu cau] Button</t>
        </is>
      </c>
      <c r="C23" t="inlineStr">
        <is>
          <t>Kiem tra nut gui</t>
        </is>
      </c>
      <c r="D23" t="inlineStr">
        <is>
          <t>Da dang nhap</t>
        </is>
      </c>
      <c r="E23" t="inlineStr">
        <is>
          <t>-Text: "Gui yeu cau cuu ho"
-Background: do (khan cap)
-Text color: white
-Status: enable</t>
        </is>
      </c>
      <c r="F23" t="inlineStr"/>
      <c r="G23" t="inlineStr">
        <is>
          <t>Untested</t>
        </is>
      </c>
    </row>
    <row r="24">
      <c r="A24" t="inlineStr">
        <is>
          <t>GUI-GYC09</t>
        </is>
      </c>
      <c r="B24" t="inlineStr">
        <is>
          <t>[Huy] Button huy form</t>
        </is>
      </c>
      <c r="C24" t="inlineStr">
        <is>
          <t>Kiem tra nut huy</t>
        </is>
      </c>
      <c r="D24" t="inlineStr">
        <is>
          <t>Da dang nhap</t>
        </is>
      </c>
      <c r="E24" t="inlineStr">
        <is>
          <t>-Text: "Huy"
-Background: xam
-Status: enable</t>
        </is>
      </c>
      <c r="F24" t="inlineStr"/>
      <c r="G24" t="inlineStr">
        <is>
          <t>Untested</t>
        </is>
      </c>
    </row>
    <row r="25">
      <c r="A25" t="inlineStr">
        <is>
          <t>FUNCTION_SHOW Chuc nang gui yeu cau cuu ho</t>
        </is>
      </c>
    </row>
    <row r="26">
      <c r="A26" t="inlineStr">
        <is>
          <t>FUNC-GYC01</t>
        </is>
      </c>
      <c r="B26" t="inlineStr">
        <is>
          <t>Gui yeu cau thanh cong voi day du thong tin</t>
        </is>
      </c>
      <c r="C26" t="inlineStr">
        <is>
          <t>1. Chon loai su co
2. Nhap mo ta
3. Lay vi tri GPS
4. Chon muc khan cap
5. Nhap so nguoi
6. Click "Gui yeu cau"</t>
        </is>
      </c>
      <c r="D26" t="inlineStr">
        <is>
          <t>Da dang nhap, la nguoi dan</t>
        </is>
      </c>
      <c r="E26" t="inlineStr">
        <is>
          <t>Yeu cau duoc gui thanh cong, thong bao "Yeu cau da duoc tiep nhan", chuyen sang man hinh xem trang thai</t>
        </is>
      </c>
      <c r="F26" t="inlineStr"/>
      <c r="G26" t="inlineStr">
        <is>
          <t>Untested</t>
        </is>
      </c>
    </row>
    <row r="27">
      <c r="A27" t="inlineStr">
        <is>
          <t>FUNC-GYC02</t>
        </is>
      </c>
      <c r="B27" t="inlineStr">
        <is>
          <t>Gui yeu cau khi chua chon loai su co</t>
        </is>
      </c>
      <c r="C27" t="inlineStr">
        <is>
          <t>1. Bo trong Loai su co
2. Dien cac truong con lai
3. Click "Gui yeu cau"</t>
        </is>
      </c>
      <c r="D27" t="inlineStr">
        <is>
          <t>Da dang nhap</t>
        </is>
      </c>
      <c r="E27" t="inlineStr">
        <is>
          <t>Thong bao loi: "Vui long chon loai su co"</t>
        </is>
      </c>
      <c r="F27" t="inlineStr"/>
      <c r="G27" t="inlineStr">
        <is>
          <t>Untested</t>
        </is>
      </c>
    </row>
    <row r="28">
      <c r="A28" t="inlineStr">
        <is>
          <t>FUNC-GYC03</t>
        </is>
      </c>
      <c r="B28" t="inlineStr">
        <is>
          <t>Gui yeu cau khi thieu vi tri</t>
        </is>
      </c>
      <c r="C28" t="inlineStr">
        <is>
          <t>1. Chon loai su co
2. Bo trong Vi tri
3. Click "Gui yeu cau"</t>
        </is>
      </c>
      <c r="D28" t="inlineStr">
        <is>
          <t>Da dang nhap</t>
        </is>
      </c>
      <c r="E28" t="inlineStr">
        <is>
          <t>Thong bao loi: "Vui long cung cap vi tri de chung toi co the tim thay ban"</t>
        </is>
      </c>
      <c r="F28" t="inlineStr"/>
      <c r="G28" t="inlineStr">
        <is>
          <t>Untested</t>
        </is>
      </c>
    </row>
    <row r="29">
      <c r="A29" t="inlineStr">
        <is>
          <t>FUNC-GYC04</t>
        </is>
      </c>
      <c r="B29" t="inlineStr">
        <is>
          <t>Gui yeu cau khi bo trong mo ta</t>
        </is>
      </c>
      <c r="C29" t="inlineStr">
        <is>
          <t>1. Chon loai su co, vi tri
2. Bo trong Mo ta
3. Click "Gui yeu cau"</t>
        </is>
      </c>
      <c r="D29" t="inlineStr">
        <is>
          <t>Da dang nhap</t>
        </is>
      </c>
      <c r="E29" t="inlineStr">
        <is>
          <t>Thong bao loi: "Vui long mo ta tinh huong"</t>
        </is>
      </c>
      <c r="F29" t="inlineStr"/>
      <c r="G29" t="inlineStr">
        <is>
          <t>Untested</t>
        </is>
      </c>
    </row>
    <row r="30">
      <c r="A30" t="inlineStr">
        <is>
          <t>FUNC-GYC05</t>
        </is>
      </c>
      <c r="B30" t="inlineStr">
        <is>
          <t>Lay vi tri GPS tu dong thanh cong</t>
        </is>
      </c>
      <c r="C30" t="inlineStr">
        <is>
          <t>1. Click "Lay vi tri hien tai"
2. Cap quyen truy cap vi tri khi duoc hoi</t>
        </is>
      </c>
      <c r="D30" t="inlineStr">
        <is>
          <t>Da dang nhap, thiet bi co GPS</t>
        </is>
      </c>
      <c r="E30" t="inlineStr">
        <is>
          <t>He thong tu dong dien toa do / dia chi hien tai vao field Vi tri</t>
        </is>
      </c>
      <c r="F30" t="inlineStr"/>
      <c r="G30" t="inlineStr">
        <is>
          <t>Untested</t>
        </is>
      </c>
    </row>
    <row r="31">
      <c r="A31" t="inlineStr">
        <is>
          <t>FUNC-GYC06</t>
        </is>
      </c>
      <c r="B31" t="inlineStr">
        <is>
          <t>Lay vi tri GPS bi tu choi quyen</t>
        </is>
      </c>
      <c r="C31" t="inlineStr">
        <is>
          <t>1. Click "Lay vi tri hien tai"
2. Tu choi quyen vi tri</t>
        </is>
      </c>
      <c r="D31" t="inlineStr">
        <is>
          <t>Da dang nhap, tu choi cap quyen GPS</t>
        </is>
      </c>
      <c r="E31" t="inlineStr">
        <is>
          <t>Thong bao huong dan: "Vui long cap quyen truy cap vi tri de su dung tinh nang nay"</t>
        </is>
      </c>
      <c r="F31" t="inlineStr"/>
      <c r="G31" t="inlineStr">
        <is>
          <t>Untested</t>
        </is>
      </c>
    </row>
    <row r="32">
      <c r="A32" t="inlineStr">
        <is>
          <t>FUNC-GYC07</t>
        </is>
      </c>
      <c r="B32" t="inlineStr">
        <is>
          <t>Gui yeu cau kem anh minh chung</t>
        </is>
      </c>
      <c r="C32" t="inlineStr">
        <is>
          <t>1. Chon 3 anh minh chung
2. Dien day du thong tin con lai
3. Click "Gui yeu cau"</t>
        </is>
      </c>
      <c r="D32" t="inlineStr">
        <is>
          <t>Da dang nhap</t>
        </is>
      </c>
      <c r="E32" t="inlineStr">
        <is>
          <t>Yeu cau gui thanh cong kem theo anh, anh hien thi trong chi tiet yeu cau</t>
        </is>
      </c>
      <c r="F32" t="inlineStr"/>
      <c r="G32" t="inlineStr">
        <is>
          <t>Untested</t>
        </is>
      </c>
    </row>
    <row r="33">
      <c r="A33" t="inlineStr">
        <is>
          <t>FUNC-GYC08</t>
        </is>
      </c>
      <c r="B33" t="inlineStr">
        <is>
          <t>Upload anh qua kich thuoc cho phep (&gt;10MB)</t>
        </is>
      </c>
      <c r="C33" t="inlineStr">
        <is>
          <t>1. Chon anh &gt; 10MB
2. Click "Gui yeu cau"</t>
        </is>
      </c>
      <c r="D33" t="inlineStr">
        <is>
          <t>Da dang nhap</t>
        </is>
      </c>
      <c r="E33" t="inlineStr">
        <is>
          <t>Thong bao loi: "Kich thuoc anh qua lon, vui long chon anh nho hon 10MB"</t>
        </is>
      </c>
      <c r="F33" t="inlineStr"/>
      <c r="G33" t="inlineStr">
        <is>
          <t>Untested</t>
        </is>
      </c>
    </row>
    <row r="34">
      <c r="A34" t="inlineStr">
        <is>
          <t>FUNC-GYC09</t>
        </is>
      </c>
      <c r="B34" t="inlineStr">
        <is>
          <t>Gui yeu cau khi mat ket noi mang</t>
        </is>
      </c>
      <c r="C34" t="inlineStr">
        <is>
          <t>1. Tat mang
2. Dien day du thong tin
3. Click "Gui yeu cau"</t>
        </is>
      </c>
      <c r="D34" t="inlineStr">
        <is>
          <t>Da dang nhap, mat internet</t>
        </is>
      </c>
      <c r="E34" t="inlineStr">
        <is>
          <t>Thong bao loi: "Khong co ket noi mang, vui long kiem tra va thu lai"</t>
        </is>
      </c>
      <c r="F34" t="inlineStr"/>
      <c r="G34" t="inlineStr">
        <is>
          <t>Untested</t>
        </is>
      </c>
    </row>
    <row r="35">
      <c r="A35" t="inlineStr">
        <is>
          <t>FUNC-GYC10</t>
        </is>
      </c>
      <c r="B35" t="inlineStr">
        <is>
          <t>De trong tat ca cac truong - Click Gui</t>
        </is>
      </c>
      <c r="C35" t="inlineStr">
        <is>
          <t>1. Khong nhap bat ky truong nao
2. Click "Gui yeu cau"</t>
        </is>
      </c>
      <c r="D35" t="inlineStr">
        <is>
          <t>Da dang nhap</t>
        </is>
      </c>
      <c r="E35" t="inlineStr">
        <is>
          <t>He thong hien thi loi tren toan bo cac truong bat buoc</t>
        </is>
      </c>
      <c r="F35" t="inlineStr"/>
      <c r="G35" t="inlineStr">
        <is>
          <t>Untested</t>
        </is>
      </c>
    </row>
    <row r="36">
      <c r="A36" t="inlineStr">
        <is>
          <t>FUNC-GYC11</t>
        </is>
      </c>
      <c r="B36" t="inlineStr">
        <is>
          <t>He thong AI tu dong tinh diem uu tien</t>
        </is>
      </c>
      <c r="C36" t="inlineStr">
        <is>
          <t>1. Gui yeu cau khan cap voi vi tri cu the
2. Kiem tra hang doi Admin</t>
        </is>
      </c>
      <c r="D36" t="inlineStr">
        <is>
          <t>Yeu cau duoc tao thanh cong</t>
        </is>
      </c>
      <c r="E36" t="inlineStr">
        <is>
          <t>Yeu cau xuat hien trong hang doi Admin voi diem uu tien duoc tinh tu dong boi AI</t>
        </is>
      </c>
      <c r="F36" t="inlineStr"/>
      <c r="G36" t="inlineStr">
        <is>
          <t>Untested</t>
        </is>
      </c>
    </row>
    <row r="37">
      <c r="A37" t="inlineStr">
        <is>
          <t>FUNC-GYC12</t>
        </is>
      </c>
      <c r="B37" t="inlineStr">
        <is>
          <t>Nguoi dan nhan thong bao xac nhan qua email / push</t>
        </is>
      </c>
      <c r="C37" t="inlineStr">
        <is>
          <t>1. Gui yeu cau thanh cong
2. Kiem tra email / thong bao</t>
        </is>
      </c>
      <c r="D37" t="inlineStr">
        <is>
          <t>Da gui yeu cau thanh cong</t>
        </is>
      </c>
      <c r="E37" t="inlineStr">
        <is>
          <t>Nguoi dan nhan thong bao xac nhan kem ma yeu cau trong vong 1 phut</t>
        </is>
      </c>
      <c r="F37" t="inlineStr"/>
      <c r="G37" t="inlineStr">
        <is>
          <t>Untested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t="inlineStr">
        <is>
          <t>Project Name</t>
        </is>
      </c>
      <c r="B1" t="inlineStr">
        <is>
          <t>Thiet ke va phat trien he thong dieu phoi cuu ho thong minh trong thien tai dua tren phan tich muc do khan cap</t>
        </is>
      </c>
    </row>
    <row r="2">
      <c r="A2" t="inlineStr">
        <is>
          <t>Module Code</t>
        </is>
      </c>
      <c r="B2" t="inlineStr">
        <is>
          <t>Xem Trang Thai Yeu Cau Cuu Ho</t>
        </is>
      </c>
    </row>
    <row r="3">
      <c r="B3" t="inlineStr">
        <is>
          <t>Hoan thanh</t>
        </is>
      </c>
      <c r="C3" t="inlineStr">
        <is>
          <t>Loi</t>
        </is>
      </c>
      <c r="D3" t="inlineStr">
        <is>
          <t>Chua kiem tra</t>
        </is>
      </c>
      <c r="E3" t="inlineStr">
        <is>
          <t>Bi chan</t>
        </is>
      </c>
      <c r="F3" t="inlineStr">
        <is>
          <t>Tong so truong hop thi nghiem</t>
        </is>
      </c>
    </row>
    <row r="4">
      <c r="A4" t="inlineStr">
        <is>
          <t>Round 1</t>
        </is>
      </c>
      <c r="B4">
        <f>COUNTIF(G16:G60,"Passed")</f>
        <v/>
      </c>
      <c r="C4">
        <f>COUNTIF(G16:G60,"Failed")</f>
        <v/>
      </c>
      <c r="D4">
        <f>COUNTIF(G16:G60,"Untested")</f>
        <v/>
      </c>
      <c r="E4">
        <f>COUNTIF(G16:G60,"Blocked")</f>
        <v/>
      </c>
      <c r="F4">
        <f>COUNTA(A16:A60)</f>
        <v/>
      </c>
    </row>
    <row r="5">
      <c r="A5" t="inlineStr">
        <is>
          <t>Round 2</t>
        </is>
      </c>
      <c r="B5">
        <f>COUNTIF(J16:J60,"Passed")</f>
        <v/>
      </c>
      <c r="C5">
        <f>COUNTIF(J16:J60,"Failed")</f>
        <v/>
      </c>
      <c r="D5">
        <f>COUNTIF(J16:J60,"Untested")</f>
        <v/>
      </c>
      <c r="E5">
        <f>COUNTIF(J16:J60,"Blocked")</f>
        <v/>
      </c>
      <c r="F5">
        <f>COUNTA(A16:A60)</f>
        <v/>
      </c>
    </row>
    <row r="12">
      <c r="A12" t="inlineStr">
        <is>
          <t>Test Case ID</t>
        </is>
      </c>
      <c r="B12" t="inlineStr">
        <is>
          <t>Mo ta</t>
        </is>
      </c>
      <c r="C12" t="inlineStr">
        <is>
          <t>Hanh dong</t>
        </is>
      </c>
      <c r="D12" t="inlineStr">
        <is>
          <t>Dieu kien tien quyet</t>
        </is>
      </c>
      <c r="E12" t="inlineStr">
        <is>
          <t>Ket qua mong doi</t>
        </is>
      </c>
      <c r="F12" t="inlineStr">
        <is>
          <t>Ket qua thuc te</t>
        </is>
      </c>
      <c r="G12" t="inlineStr">
        <is>
          <t>Ket qua</t>
        </is>
      </c>
      <c r="J12" t="inlineStr">
        <is>
          <t>Ket qua</t>
        </is>
      </c>
      <c r="M12" t="inlineStr">
        <is>
          <t>Chu thich</t>
        </is>
      </c>
    </row>
    <row r="13">
      <c r="G13" t="inlineStr">
        <is>
          <t>Vong 1</t>
        </is>
      </c>
      <c r="J13" t="inlineStr">
        <is>
          <t>Vong 2</t>
        </is>
      </c>
    </row>
    <row r="14">
      <c r="G14" t="inlineStr">
        <is>
          <t>Trang thai</t>
        </is>
      </c>
      <c r="H14" t="inlineStr">
        <is>
          <t>Ngay kiem tra</t>
        </is>
      </c>
      <c r="I14" t="inlineStr">
        <is>
          <t>Nguoi kiem tra</t>
        </is>
      </c>
      <c r="J14" t="inlineStr">
        <is>
          <t>Trang thai</t>
        </is>
      </c>
      <c r="K14" t="inlineStr">
        <is>
          <t>Ngay kiem tra</t>
        </is>
      </c>
      <c r="L14" t="inlineStr">
        <is>
          <t>Nguoi kiem tra</t>
        </is>
      </c>
    </row>
    <row r="15">
      <c r="A15" t="inlineStr">
        <is>
          <t>GUI_SHOW Trang xem trang thai yeu cau</t>
        </is>
      </c>
    </row>
    <row r="16">
      <c r="A16" t="inlineStr">
        <is>
          <t>GUI-XTTYC01</t>
        </is>
      </c>
      <c r="B16" t="inlineStr">
        <is>
          <t>[Danh sach yeu cau] List / Card view</t>
        </is>
      </c>
      <c r="C16" t="inlineStr">
        <is>
          <t>Kiem tra giao dien danh sach</t>
        </is>
      </c>
      <c r="D16" t="inlineStr">
        <is>
          <t>Da dang nhap, co yeu cau truoc do</t>
        </is>
      </c>
      <c r="E16" t="inlineStr">
        <is>
          <t>-Moi yeu cau hien thi: Ma yeu cau, Loai su co, Thoi gian gui, Trang thai
-Sap xep moi nhat len tren
-Status: enable</t>
        </is>
      </c>
      <c r="F16" t="inlineStr"/>
      <c r="G16" t="inlineStr">
        <is>
          <t>Untested</t>
        </is>
      </c>
    </row>
    <row r="17">
      <c r="A17" t="inlineStr">
        <is>
          <t>GUI-XTTYC02</t>
        </is>
      </c>
      <c r="B17" t="inlineStr">
        <is>
          <t>[Badge trang thai] Mau sac phan loai trang thai</t>
        </is>
      </c>
      <c r="C17" t="inlineStr">
        <is>
          <t>Kiem tra badge trang thai</t>
        </is>
      </c>
      <c r="D17" t="inlineStr">
        <is>
          <t>Co yeu cau trong he thong</t>
        </is>
      </c>
      <c r="E17" t="inlineStr">
        <is>
          <t>-"Cho xu ly": Mau vang
-"Dang xu ly": Mau xanh duong
-"Hoan thanh": Mau xanh la
-"Da huy": Mau do
-"Khong xu ly duoc": Mau xam</t>
        </is>
      </c>
      <c r="F17" t="inlineStr"/>
      <c r="G17" t="inlineStr">
        <is>
          <t>Untested</t>
        </is>
      </c>
    </row>
    <row r="18">
      <c r="A18" t="inlineStr">
        <is>
          <t>GUI-XTTYC03</t>
        </is>
      </c>
      <c r="B18" t="inlineStr">
        <is>
          <t>[Chi tiet yeu cau] Trang chi tiet</t>
        </is>
      </c>
      <c r="C18" t="inlineStr">
        <is>
          <t>Kiem tra chi tiet yeu cau</t>
        </is>
      </c>
      <c r="D18" t="inlineStr">
        <is>
          <t>Co yeu cau trong he thong</t>
        </is>
      </c>
      <c r="E18" t="inlineStr">
        <is>
          <t>-Hien thi: Ma yeu cau, Loai su co, Mo ta, Vi tri, Anh, Thoi gian, Trang thai
-Thong tin doi cuu ho duoc phan cong (ten doi, so lien lac)
-Ban do hien thi vi tri yeu cau</t>
        </is>
      </c>
      <c r="F18" t="inlineStr"/>
      <c r="G18" t="inlineStr">
        <is>
          <t>Untested</t>
        </is>
      </c>
    </row>
    <row r="19">
      <c r="A19" t="inlineStr">
        <is>
          <t>GUI-XTTYC04</t>
        </is>
      </c>
      <c r="B19" t="inlineStr">
        <is>
          <t>[Nut Huy yeu cau] Chi hien thi khi con cho xu ly</t>
        </is>
      </c>
      <c r="C19" t="inlineStr">
        <is>
          <t>Kiem tra hien thi nut huy</t>
        </is>
      </c>
      <c r="D19" t="inlineStr">
        <is>
          <t>Yeu cau o trang thai Cho xu ly</t>
        </is>
      </c>
      <c r="E19" t="inlineStr">
        <is>
          <t>-Nut "Huy yeu cau" hien thi va co the click
-Trang thai khac: nut bi an hoac disable</t>
        </is>
      </c>
      <c r="F19" t="inlineStr"/>
      <c r="G19" t="inlineStr">
        <is>
          <t>Untested</t>
        </is>
      </c>
    </row>
    <row r="20">
      <c r="A20" t="inlineStr">
        <is>
          <t>GUI-XTTYC05</t>
        </is>
      </c>
      <c r="B20" t="inlineStr">
        <is>
          <t>[Dong ho dem] Thoi gian cho xu ly</t>
        </is>
      </c>
      <c r="C20" t="inlineStr">
        <is>
          <t>Kiem tra dong ho dem</t>
        </is>
      </c>
      <c r="D20" t="inlineStr">
        <is>
          <t>Yeu cau o trang thai Cho xu ly</t>
        </is>
      </c>
      <c r="E20" t="inlineStr">
        <is>
          <t>-Hien thi thoi gian da cho ke tu khi gui yeu cau
-Cap nhat theo thoi gian thuc</t>
        </is>
      </c>
      <c r="F20" t="inlineStr"/>
      <c r="G20" t="inlineStr">
        <is>
          <t>Untested</t>
        </is>
      </c>
    </row>
    <row r="21">
      <c r="A21" t="inlineStr">
        <is>
          <t>FUNCTION_SHOW Chuc nang xem trang thai</t>
        </is>
      </c>
    </row>
    <row r="22">
      <c r="A22" t="inlineStr">
        <is>
          <t>FUNC-XTTYC01</t>
        </is>
      </c>
      <c r="B22" t="inlineStr">
        <is>
          <t>Xem danh sach yeu cau cua chinh minh</t>
        </is>
      </c>
      <c r="C22" t="inlineStr">
        <is>
          <t>1. Dang nhap
2. Vao muc "Yeu cau cua toi"</t>
        </is>
      </c>
      <c r="D22" t="inlineStr">
        <is>
          <t>Da dang nhap, co yeu cau da gui</t>
        </is>
      </c>
      <c r="E22" t="inlineStr">
        <is>
          <t>Chi hien thi cac yeu cau cua nguoi dung hien tai, khong hien thi yeu cau nguoi khac</t>
        </is>
      </c>
      <c r="F22" t="inlineStr"/>
      <c r="G22" t="inlineStr">
        <is>
          <t>Untested</t>
        </is>
      </c>
    </row>
    <row r="23">
      <c r="A23" t="inlineStr">
        <is>
          <t>FUNC-XTTYC02</t>
        </is>
      </c>
      <c r="B23" t="inlineStr">
        <is>
          <t>Xem chi tiet mot yeu cau cu the</t>
        </is>
      </c>
      <c r="C23" t="inlineStr">
        <is>
          <t>1. Click vao bat ky yeu cau nao trong danh sach</t>
        </is>
      </c>
      <c r="D23" t="inlineStr">
        <is>
          <t>Co danh sach yeu cau</t>
        </is>
      </c>
      <c r="E23" t="inlineStr">
        <is>
          <t>Mo trang chi tiet voi day du: ma yeu cau, loai, mo ta, vi tri tren ban do, trang thai, thong tin doi cuu ho</t>
        </is>
      </c>
      <c r="F23" t="inlineStr"/>
      <c r="G23" t="inlineStr">
        <is>
          <t>Untested</t>
        </is>
      </c>
    </row>
    <row r="24">
      <c r="A24" t="inlineStr">
        <is>
          <t>FUNC-XTTYC03</t>
        </is>
      </c>
      <c r="B24" t="inlineStr">
        <is>
          <t>Trang thai cap nhat real-time khi duoc phan cong</t>
        </is>
      </c>
      <c r="C24" t="inlineStr">
        <is>
          <t>1. Yeu cau dang "Cho xu ly"
2. Admin phan cong doi cuu ho</t>
        </is>
      </c>
      <c r="D24" t="inlineStr">
        <is>
          <t>Yeu cau dang o cho xu ly</t>
        </is>
      </c>
      <c r="E24" t="inlineStr">
        <is>
          <t>Trang thai tu dong doi sang "Dang xu ly" va hien thi thong tin doi duoc phan cong (khong can reload)</t>
        </is>
      </c>
      <c r="F24" t="inlineStr"/>
      <c r="G24" t="inlineStr">
        <is>
          <t>Untested</t>
        </is>
      </c>
    </row>
    <row r="25">
      <c r="A25" t="inlineStr">
        <is>
          <t>FUNC-XTTYC04</t>
        </is>
      </c>
      <c r="B25" t="inlineStr">
        <is>
          <t>Trang thai cap nhat real-time khi hoan thanh</t>
        </is>
      </c>
      <c r="C25" t="inlineStr">
        <is>
          <t>1. Doi cuu ho nop bao cao hoan thanh
2. Quan sat trang nguoi dan</t>
        </is>
      </c>
      <c r="D25" t="inlineStr">
        <is>
          <t>Yeu cau dang xu ly</t>
        </is>
      </c>
      <c r="E25" t="inlineStr">
        <is>
          <t>Trang thai tu dong doi sang "Hoan thanh" va hien thi form danh gia</t>
        </is>
      </c>
      <c r="F25" t="inlineStr"/>
      <c r="G25" t="inlineStr">
        <is>
          <t>Untested</t>
        </is>
      </c>
    </row>
    <row r="26">
      <c r="A26" t="inlineStr">
        <is>
          <t>FUNC-XTTYC05</t>
        </is>
      </c>
      <c r="B26" t="inlineStr">
        <is>
          <t>Huy yeu cau khi chua duoc xu ly</t>
        </is>
      </c>
      <c r="C26" t="inlineStr">
        <is>
          <t>1. Chon yeu cau o trang thai "Cho xu ly"
2. Click "Huy yeu cau"
3. Nhap ly do huy
4. Xac nhan huy</t>
        </is>
      </c>
      <c r="D26" t="inlineStr">
        <is>
          <t>Yeu cau o trang thai Cho xu ly</t>
        </is>
      </c>
      <c r="E26" t="inlineStr">
        <is>
          <t>Yeu cau chuyen sang "Da huy", hien thi thong bao "Huy yeu cau thanh cong"</t>
        </is>
      </c>
      <c r="F26" t="inlineStr"/>
      <c r="G26" t="inlineStr">
        <is>
          <t>Untested</t>
        </is>
      </c>
    </row>
    <row r="27">
      <c r="A27" t="inlineStr">
        <is>
          <t>FUNC-XTTYC06</t>
        </is>
      </c>
      <c r="B27" t="inlineStr">
        <is>
          <t>Khong the huy yeu cau khi dang xu ly</t>
        </is>
      </c>
      <c r="C27" t="inlineStr">
        <is>
          <t>1. Click vao yeu cau o trang thai "Dang xu ly"
2. Kiem tra tuy chon huy</t>
        </is>
      </c>
      <c r="D27" t="inlineStr">
        <is>
          <t>Yeu cau dang xu ly</t>
        </is>
      </c>
      <c r="E27" t="inlineStr">
        <is>
          <t>Nut "Huy yeu cau" bi an hoac vo hieu hoa, khong the huy</t>
        </is>
      </c>
      <c r="F27" t="inlineStr"/>
      <c r="G27" t="inlineStr">
        <is>
          <t>Untested</t>
        </is>
      </c>
    </row>
    <row r="28">
      <c r="A28" t="inlineStr">
        <is>
          <t>FUNC-XTTYC07</t>
        </is>
      </c>
      <c r="B28" t="inlineStr">
        <is>
          <t>Loc yeu cau theo trang thai</t>
        </is>
      </c>
      <c r="C28" t="inlineStr">
        <is>
          <t>1. Chon bo loc "Cho xu ly"
2. Xem danh sach</t>
        </is>
      </c>
      <c r="D28" t="inlineStr">
        <is>
          <t>Co yeu cau o nhieu trang thai khac nhau</t>
        </is>
      </c>
      <c r="E28" t="inlineStr">
        <is>
          <t>Chi hien thi yeu cau co trang thai "Cho xu ly"</t>
        </is>
      </c>
      <c r="F28" t="inlineStr"/>
      <c r="G28" t="inlineStr">
        <is>
          <t>Untested</t>
        </is>
      </c>
    </row>
    <row r="29">
      <c r="A29" t="inlineStr">
        <is>
          <t>FUNC-XTTYC08</t>
        </is>
      </c>
      <c r="B29" t="inlineStr">
        <is>
          <t>Loc yeu cau theo khoang thoi gian</t>
        </is>
      </c>
      <c r="C29" t="inlineStr">
        <is>
          <t>1. Chon tu ngay - den ngay
2. Ap dung bo loc</t>
        </is>
      </c>
      <c r="D29" t="inlineStr">
        <is>
          <t>Co nhieu yeu cau trong he thong</t>
        </is>
      </c>
      <c r="E29" t="inlineStr">
        <is>
          <t>Chi hien thi yeu cau trong khoang thoi gian da chon</t>
        </is>
      </c>
      <c r="F29" t="inlineStr"/>
      <c r="G29" t="inlineStr">
        <is>
          <t>Untested</t>
        </is>
      </c>
    </row>
    <row r="30">
      <c r="A30" t="inlineStr">
        <is>
          <t>FUNC-XTTYC09</t>
        </is>
      </c>
      <c r="B30" t="inlineStr">
        <is>
          <t>Xem ban do vi tri yeu cau</t>
        </is>
      </c>
      <c r="C30" t="inlineStr">
        <is>
          <t>1. Mo chi tiet yeu cau
2. Xem tab "Vi tri"</t>
        </is>
      </c>
      <c r="D30" t="inlineStr">
        <is>
          <t>Co yeu cau co thong tin GPS</t>
        </is>
      </c>
      <c r="E30" t="inlineStr">
        <is>
          <t>Ban do hien thi dung vi tri da gui yeu cau, co the zoom va di chuyen ban do</t>
        </is>
      </c>
      <c r="F30" t="inlineStr"/>
      <c r="G30" t="inlineStr">
        <is>
          <t>Untested</t>
        </is>
      </c>
    </row>
    <row r="31">
      <c r="A31" t="inlineStr">
        <is>
          <t>FUNC-XTTYC10</t>
        </is>
      </c>
      <c r="B31" t="inlineStr">
        <is>
          <t>Theo doi vi tri doi cuu ho tren ban do</t>
        </is>
      </c>
      <c r="C31" t="inlineStr">
        <is>
          <t>1. Yeu cau dang o trang thai "Dang xu ly"
2. Xem tab vi tri</t>
        </is>
      </c>
      <c r="D31" t="inlineStr">
        <is>
          <t>Doi cuu ho dang di den hien truong</t>
        </is>
      </c>
      <c r="E31" t="inlineStr">
        <is>
          <t>Ban do hien thi vi tri doi cuu ho dang di chuyen, cap nhat real-time</t>
        </is>
      </c>
      <c r="F31" t="inlineStr"/>
      <c r="G31" t="inlineStr">
        <is>
          <t>Untested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t="inlineStr">
        <is>
          <t>Project Name</t>
        </is>
      </c>
      <c r="B1" t="inlineStr">
        <is>
          <t>Thiet ke va phat trien he thong dieu phoi cuu ho thong minh trong thien tai dua tren phan tich muc do khan cap</t>
        </is>
      </c>
    </row>
    <row r="2">
      <c r="A2" t="inlineStr">
        <is>
          <t>Module Code</t>
        </is>
      </c>
      <c r="B2" t="inlineStr">
        <is>
          <t>Danh Gia Dich Vu Sau Khi Cuu Ho</t>
        </is>
      </c>
    </row>
    <row r="3">
      <c r="B3" t="inlineStr">
        <is>
          <t>Hoan thanh</t>
        </is>
      </c>
      <c r="C3" t="inlineStr">
        <is>
          <t>Loi</t>
        </is>
      </c>
      <c r="D3" t="inlineStr">
        <is>
          <t>Chua kiem tra</t>
        </is>
      </c>
      <c r="E3" t="inlineStr">
        <is>
          <t>Bi chan</t>
        </is>
      </c>
      <c r="F3" t="inlineStr">
        <is>
          <t>Tong so truong hop thi nghiem</t>
        </is>
      </c>
    </row>
    <row r="4">
      <c r="A4" t="inlineStr">
        <is>
          <t>Round 1</t>
        </is>
      </c>
      <c r="B4">
        <f>COUNTIF(G16:G60,"Passed")</f>
        <v/>
      </c>
      <c r="C4">
        <f>COUNTIF(G16:G60,"Failed")</f>
        <v/>
      </c>
      <c r="D4">
        <f>COUNTIF(G16:G60,"Untested")</f>
        <v/>
      </c>
      <c r="E4">
        <f>COUNTIF(G16:G60,"Blocked")</f>
        <v/>
      </c>
      <c r="F4">
        <f>COUNTA(A16:A60)</f>
        <v/>
      </c>
    </row>
    <row r="5">
      <c r="A5" t="inlineStr">
        <is>
          <t>Round 2</t>
        </is>
      </c>
      <c r="B5">
        <f>COUNTIF(J16:J60,"Passed")</f>
        <v/>
      </c>
      <c r="C5">
        <f>COUNTIF(J16:J60,"Failed")</f>
        <v/>
      </c>
      <c r="D5">
        <f>COUNTIF(J16:J60,"Untested")</f>
        <v/>
      </c>
      <c r="E5">
        <f>COUNTIF(J16:J60,"Blocked")</f>
        <v/>
      </c>
      <c r="F5">
        <f>COUNTA(A16:A60)</f>
        <v/>
      </c>
    </row>
    <row r="12">
      <c r="A12" t="inlineStr">
        <is>
          <t>Test Case ID</t>
        </is>
      </c>
      <c r="B12" t="inlineStr">
        <is>
          <t>Mo ta</t>
        </is>
      </c>
      <c r="C12" t="inlineStr">
        <is>
          <t>Hanh dong</t>
        </is>
      </c>
      <c r="D12" t="inlineStr">
        <is>
          <t>Dieu kien tien quyet</t>
        </is>
      </c>
      <c r="E12" t="inlineStr">
        <is>
          <t>Ket qua mong doi</t>
        </is>
      </c>
      <c r="F12" t="inlineStr">
        <is>
          <t>Ket qua thuc te</t>
        </is>
      </c>
      <c r="G12" t="inlineStr">
        <is>
          <t>Ket qua</t>
        </is>
      </c>
      <c r="J12" t="inlineStr">
        <is>
          <t>Ket qua</t>
        </is>
      </c>
      <c r="M12" t="inlineStr">
        <is>
          <t>Chu thich</t>
        </is>
      </c>
    </row>
    <row r="13">
      <c r="G13" t="inlineStr">
        <is>
          <t>Vong 1</t>
        </is>
      </c>
      <c r="J13" t="inlineStr">
        <is>
          <t>Vong 2</t>
        </is>
      </c>
    </row>
    <row r="14">
      <c r="G14" t="inlineStr">
        <is>
          <t>Trang thai</t>
        </is>
      </c>
      <c r="H14" t="inlineStr">
        <is>
          <t>Ngay kiem tra</t>
        </is>
      </c>
      <c r="I14" t="inlineStr">
        <is>
          <t>Nguoi kiem tra</t>
        </is>
      </c>
      <c r="J14" t="inlineStr">
        <is>
          <t>Trang thai</t>
        </is>
      </c>
      <c r="K14" t="inlineStr">
        <is>
          <t>Ngay kiem tra</t>
        </is>
      </c>
      <c r="L14" t="inlineStr">
        <is>
          <t>Nguoi kiem tra</t>
        </is>
      </c>
    </row>
    <row r="15">
      <c r="A15" t="inlineStr">
        <is>
          <t>GUI_SHOW Form danh gia dich vu cuu ho</t>
        </is>
      </c>
    </row>
    <row r="16">
      <c r="A16" t="inlineStr">
        <is>
          <t>GUI-DG01</t>
        </is>
      </c>
      <c r="B16" t="inlineStr">
        <is>
          <t>[Title] Tieu de form danh gia</t>
        </is>
      </c>
      <c r="C16" t="inlineStr">
        <is>
          <t>Kiem tra giao dien form</t>
        </is>
      </c>
      <c r="D16" t="inlineStr">
        <is>
          <t>Yeu cau da hoan thanh</t>
        </is>
      </c>
      <c r="E16" t="inlineStr">
        <is>
          <t>-Title: "Danh gia dich vu cuu ho"
-Mo ta: "Cam nhan cua ban giup chung toi cai thien dich vu"
-Status: enable</t>
        </is>
      </c>
      <c r="F16" t="inlineStr"/>
      <c r="G16" t="inlineStr">
        <is>
          <t>Untested</t>
        </is>
      </c>
    </row>
    <row r="17">
      <c r="A17" t="inlineStr">
        <is>
          <t>GUI-DG02</t>
        </is>
      </c>
      <c r="B17" t="inlineStr">
        <is>
          <t>[Danh gia sao] Star rating 1-5</t>
        </is>
      </c>
      <c r="C17" t="inlineStr">
        <is>
          <t>Kiem tra UI sao danh gia</t>
        </is>
      </c>
      <c r="D17" t="inlineStr">
        <is>
          <t>Yeu cau da hoan thanh</t>
        </is>
      </c>
      <c r="E17" t="inlineStr">
        <is>
          <t>-5 ngoi sao co the click
-Sao duoc chon hien thi mau vang
-Hover hien thi mau nhat
-Status: enable</t>
        </is>
      </c>
      <c r="F17" t="inlineStr"/>
      <c r="G17" t="inlineStr">
        <is>
          <t>Untested</t>
        </is>
      </c>
    </row>
    <row r="18">
      <c r="A18" t="inlineStr">
        <is>
          <t>GUI-DG03</t>
        </is>
      </c>
      <c r="B18" t="inlineStr">
        <is>
          <t>[Nhan xet] Textbox</t>
        </is>
      </c>
      <c r="C18" t="inlineStr">
        <is>
          <t>Kiem tra textbox nhan xet</t>
        </is>
      </c>
      <c r="D18" t="inlineStr">
        <is>
          <t>Yeu cau da hoan thanh</t>
        </is>
      </c>
      <c r="E18" t="inlineStr">
        <is>
          <t>-Placeholder: "Chia se cam nhan cua ban ve chat luong dich vu..."
-Gioi han 300 ky tu
-Hien thi so ky tu con lai
-Status: enable</t>
        </is>
      </c>
      <c r="F18" t="inlineStr"/>
      <c r="G18" t="inlineStr">
        <is>
          <t>Untested</t>
        </is>
      </c>
    </row>
    <row r="19">
      <c r="A19" t="inlineStr">
        <is>
          <t>GUI-DG04</t>
        </is>
      </c>
      <c r="B19" t="inlineStr">
        <is>
          <t>[Tag nhanh] Quick feedback tags</t>
        </is>
      </c>
      <c r="C19" t="inlineStr">
        <is>
          <t>Kiem tra quick tags</t>
        </is>
      </c>
      <c r="D19" t="inlineStr">
        <is>
          <t>Yeu cau da hoan thanh</t>
        </is>
      </c>
      <c r="E19" t="inlineStr">
        <is>
          <t>-Cac tag nhanh: Phan hoi nhanh, Chuyen nghiep, Tan tinh, Giai quyet tot
-Co the chon nhieu tag
-Status: enable</t>
        </is>
      </c>
      <c r="F19" t="inlineStr"/>
      <c r="G19" t="inlineStr">
        <is>
          <t>Untested</t>
        </is>
      </c>
    </row>
    <row r="20">
      <c r="A20" t="inlineStr">
        <is>
          <t>GUI-DG05</t>
        </is>
      </c>
      <c r="B20" t="inlineStr">
        <is>
          <t>[Gui danh gia] Button</t>
        </is>
      </c>
      <c r="C20" t="inlineStr">
        <is>
          <t>Kiem tra nut gui danh gia</t>
        </is>
      </c>
      <c r="D20" t="inlineStr">
        <is>
          <t>Yeu cau da hoan thanh</t>
        </is>
      </c>
      <c r="E20" t="inlineStr">
        <is>
          <t>-Text: "Gui danh gia"
-Background: xanh la
-Vo hieu hoa khi chua chon sao
-Status: enable</t>
        </is>
      </c>
      <c r="F20" t="inlineStr"/>
      <c r="G20" t="inlineStr">
        <is>
          <t>Untested</t>
        </is>
      </c>
    </row>
    <row r="21">
      <c r="A21" t="inlineStr">
        <is>
          <t>GUI-DG06</t>
        </is>
      </c>
      <c r="B21" t="inlineStr">
        <is>
          <t>[Bo qua] Link bo qua danh gia</t>
        </is>
      </c>
      <c r="C21" t="inlineStr">
        <is>
          <t>Kiem tra link bo qua</t>
        </is>
      </c>
      <c r="D21" t="inlineStr">
        <is>
          <t>Yeu cau da hoan thanh</t>
        </is>
      </c>
      <c r="E21" t="inlineStr">
        <is>
          <t>-Text: "Bo qua"
-Cho phep nguoi dan bo qua danh gia
-Status: enable</t>
        </is>
      </c>
      <c r="F21" t="inlineStr"/>
      <c r="G21" t="inlineStr">
        <is>
          <t>Untested</t>
        </is>
      </c>
    </row>
    <row r="22">
      <c r="A22" t="inlineStr">
        <is>
          <t>FUNCTION_SHOW Chuc nang danh gia sau cuu ho</t>
        </is>
      </c>
    </row>
    <row r="23">
      <c r="A23" t="inlineStr">
        <is>
          <t>FUNC-DG01</t>
        </is>
      </c>
      <c r="B23" t="inlineStr">
        <is>
          <t>Danh gia 5 sao kem nhan xet va tag</t>
        </is>
      </c>
      <c r="C23" t="inlineStr">
        <is>
          <t>1. Chon 5 sao
2. Nhap nhan xet
3. Chon cac tag nhan xet nhanh
4. Click "Gui danh gia"</t>
        </is>
      </c>
      <c r="D23" t="inlineStr">
        <is>
          <t>Yeu cau da hoan thanh</t>
        </is>
      </c>
      <c r="E23" t="inlineStr">
        <is>
          <t>Danh gia luu thanh cong, hien thi thong bao "Cam on ban da danh gia! Danh gia cua ban giup chung toi cai thien dich vu"</t>
        </is>
      </c>
      <c r="F23" t="inlineStr"/>
      <c r="G23" t="inlineStr">
        <is>
          <t>Untested</t>
        </is>
      </c>
    </row>
    <row r="24">
      <c r="A24" t="inlineStr">
        <is>
          <t>FUNC-DG02</t>
        </is>
      </c>
      <c r="B24" t="inlineStr">
        <is>
          <t>Danh gia khi chua chon so sao</t>
        </is>
      </c>
      <c r="C24" t="inlineStr">
        <is>
          <t>1. Khong chon sao
2. Nhap nhan xet
3. Click "Gui danh gia"</t>
        </is>
      </c>
      <c r="D24" t="inlineStr">
        <is>
          <t>Yeu cau da hoan thanh</t>
        </is>
      </c>
      <c r="E24" t="inlineStr">
        <is>
          <t>Nut "Gui danh gia" bi vo hieu hoa hoac thong bao loi: "Vui long chon so sao danh gia"</t>
        </is>
      </c>
      <c r="F24" t="inlineStr"/>
      <c r="G24" t="inlineStr">
        <is>
          <t>Untested</t>
        </is>
      </c>
    </row>
    <row r="25">
      <c r="A25" t="inlineStr">
        <is>
          <t>FUNC-DG03</t>
        </is>
      </c>
      <c r="B25" t="inlineStr">
        <is>
          <t>Danh gia chi voi so sao - khong nhan xet</t>
        </is>
      </c>
      <c r="C25" t="inlineStr">
        <is>
          <t>1. Chon 3 sao
2. De trong o nhan xet
3. Click "Gui danh gia"</t>
        </is>
      </c>
      <c r="D25" t="inlineStr">
        <is>
          <t>Yeu cau da hoan thanh</t>
        </is>
      </c>
      <c r="E25" t="inlineStr">
        <is>
          <t>Danh gia gui thanh cong (nhan xet la tuy chon)</t>
        </is>
      </c>
      <c r="F25" t="inlineStr"/>
      <c r="G25" t="inlineStr">
        <is>
          <t>Untested</t>
        </is>
      </c>
    </row>
    <row r="26">
      <c r="A26" t="inlineStr">
        <is>
          <t>FUNC-DG04</t>
        </is>
      </c>
      <c r="B26" t="inlineStr">
        <is>
          <t>Danh gia 1 sao kem ly do</t>
        </is>
      </c>
      <c r="C26" t="inlineStr">
        <is>
          <t>1. Chon 1 sao
2. Nhap ly do khong hai long
3. Click "Gui danh gia"</t>
        </is>
      </c>
      <c r="D26" t="inlineStr">
        <is>
          <t>Yeu cau da hoan thanh</t>
        </is>
      </c>
      <c r="E26" t="inlineStr">
        <is>
          <t>Danh gia luu thanh cong, Admin nhan canh bao danh gia thap</t>
        </is>
      </c>
      <c r="F26" t="inlineStr"/>
      <c r="G26" t="inlineStr">
        <is>
          <t>Untested</t>
        </is>
      </c>
    </row>
    <row r="27">
      <c r="A27" t="inlineStr">
        <is>
          <t>FUNC-DG05</t>
        </is>
      </c>
      <c r="B27" t="inlineStr">
        <is>
          <t>Bo qua danh gia</t>
        </is>
      </c>
      <c r="C27" t="inlineStr">
        <is>
          <t>1. Click link "Bo qua"</t>
        </is>
      </c>
      <c r="D27" t="inlineStr">
        <is>
          <t>Yeu cau da hoan thanh, chua danh gia</t>
        </is>
      </c>
      <c r="E27" t="inlineStr">
        <is>
          <t>He thong dong form danh gia, chuyen ve man hinh chinh, danh gia chua duoc luu</t>
        </is>
      </c>
      <c r="F27" t="inlineStr"/>
      <c r="G27" t="inlineStr">
        <is>
          <t>Untested</t>
        </is>
      </c>
    </row>
    <row r="28">
      <c r="A28" t="inlineStr">
        <is>
          <t>FUNC-DG06</t>
        </is>
      </c>
      <c r="B28" t="inlineStr">
        <is>
          <t>Form danh gia khong hien thi khi yeu cau chua hoan thanh</t>
        </is>
      </c>
      <c r="C28" t="inlineStr">
        <is>
          <t>1. Vao yeu cau dang o trang thai "Dang xu ly"
2. Kiem tra form danh gia</t>
        </is>
      </c>
      <c r="D28" t="inlineStr">
        <is>
          <t>Yeu cau chua hoan thanh</t>
        </is>
      </c>
      <c r="E28" t="inlineStr">
        <is>
          <t>Form danh gia khong hien thi, thay vao do la trang thai hien tai cua yeu cau</t>
        </is>
      </c>
      <c r="F28" t="inlineStr"/>
      <c r="G28" t="inlineStr">
        <is>
          <t>Untested</t>
        </is>
      </c>
    </row>
    <row r="29">
      <c r="A29" t="inlineStr">
        <is>
          <t>FUNC-DG07</t>
        </is>
      </c>
      <c r="B29" t="inlineStr">
        <is>
          <t>Khong the danh gia lan 2 cho cung mot yeu cau</t>
        </is>
      </c>
      <c r="C29" t="inlineStr">
        <is>
          <t>1. Da danh gia yeu cau thanh cong
2. Mo lai yeu cau do
3. Kiem tra</t>
        </is>
      </c>
      <c r="D29" t="inlineStr">
        <is>
          <t>Da danh gia lan 1</t>
        </is>
      </c>
      <c r="E29" t="inlineStr">
        <is>
          <t>He thong hien thi danh gia da gui (so sao + nhan xet), khong co nut gui them</t>
        </is>
      </c>
      <c r="F29" t="inlineStr"/>
      <c r="G29" t="inlineStr">
        <is>
          <t>Untested</t>
        </is>
      </c>
    </row>
    <row r="30">
      <c r="A30" t="inlineStr">
        <is>
          <t>FUNC-DG08</t>
        </is>
      </c>
      <c r="B30" t="inlineStr">
        <is>
          <t>Admin xem danh gia cua nguoi dan</t>
        </is>
      </c>
      <c r="C30" t="inlineStr">
        <is>
          <t>1. Admin vao bao cao danh gia
2. Xem danh gia chi tiet</t>
        </is>
      </c>
      <c r="D30" t="inlineStr">
        <is>
          <t>Co danh gia tu nguoi dan</t>
        </is>
      </c>
      <c r="E30" t="inlineStr">
        <is>
          <t>Admin thay danh gia voi: so sao, nhan xet, tag, thoi gian, thong tin yeu cau</t>
        </is>
      </c>
      <c r="F30" t="inlineStr"/>
      <c r="G30" t="inlineStr">
        <is>
          <t>Untested</t>
        </is>
      </c>
    </row>
    <row r="31">
      <c r="A31" t="inlineStr">
        <is>
          <t>FUNC-DG09</t>
        </is>
      </c>
      <c r="B31" t="inlineStr">
        <is>
          <t>Thong ke danh gia trung binh cua moi doi cuu ho</t>
        </is>
      </c>
      <c r="C31" t="inlineStr">
        <is>
          <t>1. Admin xem bao cao theo doi cuu ho</t>
        </is>
      </c>
      <c r="D31" t="inlineStr">
        <is>
          <t>Co nhieu danh gia trong he thong</t>
        </is>
      </c>
      <c r="E31" t="inlineStr">
        <is>
          <t>Hien thi diem danh gia trung binh cua moi doi, sap xep tu cao xuong thap</t>
        </is>
      </c>
      <c r="F31" t="inlineStr"/>
      <c r="G31" t="inlineStr">
        <is>
          <t>Untested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van hieuu</dc:creator>
  <dcterms:created xmlns:dcterms="http://purl.org/dc/terms/" xmlns:xsi="http://www.w3.org/2001/XMLSchema-instance" xsi:type="dcterms:W3CDTF">2026-04-24T19:37:39Z</dcterms:created>
  <dcterms:modified xmlns:dcterms="http://purl.org/dc/terms/" xmlns:xsi="http://www.w3.org/2001/XMLSchema-instance" xsi:type="dcterms:W3CDTF">2026-04-25T03:29:43Z</dcterms:modified>
  <cp:lastModifiedBy>van hieuu</cp:lastModifiedBy>
</cp:coreProperties>
</file>
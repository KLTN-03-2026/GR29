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ngDoi" sheetId="2" state="visible" r:id="rId2"/>
    <sheet xmlns:r="http://schemas.openxmlformats.org/officeDocument/2006/relationships" name="TheoDoi" sheetId="3" state="visible" r:id="rId3"/>
    <sheet xmlns:r="http://schemas.openxmlformats.org/officeDocument/2006/relationships" name="PhanC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nowSOS - Hệ thống Điều phối Cứu hộ Thông minh</t>
        </is>
      </c>
    </row>
    <row r="2">
      <c r="A2" t="inlineStr">
        <is>
          <t>Module</t>
        </is>
      </c>
      <c r="B2" t="inlineStr">
        <is>
          <t>Dashboard tổng quan</t>
        </is>
      </c>
    </row>
    <row r="3">
      <c r="B3" t="inlineStr">
        <is>
          <t>Passed</t>
        </is>
      </c>
      <c r="C3" t="inlineStr">
        <is>
          <t>Failed</t>
        </is>
      </c>
      <c r="D3" t="inlineStr">
        <is>
          <t>Untested</t>
        </is>
      </c>
      <c r="E3" t="inlineStr">
        <is>
          <t>Blocked</t>
        </is>
      </c>
      <c r="F3" t="inlineStr">
        <is>
          <t>Total</t>
        </is>
      </c>
    </row>
    <row r="4">
      <c r="A4" t="inlineStr">
        <is>
          <t>Round 1</t>
        </is>
      </c>
      <c r="B4">
        <f>COUNTIF(G16:G100,"Passed")</f>
        <v/>
      </c>
      <c r="C4">
        <f>COUNTIF(G16:G100,"Failed")</f>
        <v/>
      </c>
      <c r="D4">
        <f>COUNTIF(G16:G100,"Untested")</f>
        <v/>
      </c>
      <c r="E4">
        <f>COUNTIF(G16:G100,"Blocked")</f>
        <v/>
      </c>
      <c r="F4">
        <f>COUNTA(A16:A100)</f>
        <v/>
      </c>
    </row>
    <row r="5">
      <c r="A5" t="inlineStr">
        <is>
          <t>Round 2</t>
        </is>
      </c>
      <c r="B5">
        <f>COUNTIF(J16:J100,"Passed")</f>
        <v/>
      </c>
      <c r="C5">
        <f>COUNTIF(J16:J100,"Failed")</f>
        <v/>
      </c>
      <c r="D5">
        <f>COUNTIF(J16:J100,"Untested")</f>
        <v/>
      </c>
      <c r="E5">
        <f>COUNTIF(J16:J100,"Blocked")</f>
        <v/>
      </c>
      <c r="F5">
        <f>COUNTA(A16:A100)</f>
        <v/>
      </c>
    </row>
    <row r="12">
      <c r="A12" t="inlineStr">
        <is>
          <t>Test Case ID</t>
        </is>
      </c>
      <c r="B12" t="inlineStr">
        <is>
          <t>Mô tả</t>
        </is>
      </c>
      <c r="C12" t="inlineStr">
        <is>
          <t>Các bước thực hiện</t>
        </is>
      </c>
      <c r="D12" t="inlineStr">
        <is>
          <t>Điều kiện</t>
        </is>
      </c>
      <c r="E12" t="inlineStr">
        <is>
          <t>Kết quả mong đợi</t>
        </is>
      </c>
      <c r="F12" t="inlineStr">
        <is>
          <t>Kết quả thực tế</t>
        </is>
      </c>
      <c r="G12" t="inlineStr">
        <is>
          <t>Kết quả Vòng 1</t>
        </is>
      </c>
      <c r="J12" t="inlineStr">
        <is>
          <t>Kết quả Vòng 2</t>
        </is>
      </c>
    </row>
    <row r="13">
      <c r="G13" t="inlineStr">
        <is>
          <t>Trạng thái</t>
        </is>
      </c>
      <c r="H13" t="inlineStr">
        <is>
          <t>Ngày</t>
        </is>
      </c>
      <c r="I13" t="inlineStr">
        <is>
          <t>Người test</t>
        </is>
      </c>
      <c r="J13" t="inlineStr">
        <is>
          <t>Trạng thái</t>
        </is>
      </c>
      <c r="K13" t="inlineStr">
        <is>
          <t>Ngày</t>
        </is>
      </c>
      <c r="L13" t="inlineStr">
        <is>
          <t>Người test</t>
        </is>
      </c>
    </row>
    <row r="15">
      <c r="A15" t="inlineStr">
        <is>
          <t>KIỂM THỬ GIAO DIỆN &amp; NÚT BẤM</t>
        </is>
      </c>
    </row>
    <row r="16">
      <c r="A16" t="inlineStr">
        <is>
          <t>TC-DB01</t>
        </is>
      </c>
      <c r="B16" t="inlineStr">
        <is>
          <t>Kiểm tra hiển thị bố cục Dashboard</t>
        </is>
      </c>
      <c r="C16" t="inlineStr">
        <is>
          <t>1. Đăng nhập Admin
2. Xem trang Dashboard</t>
        </is>
      </c>
      <c r="D16" t="inlineStr">
        <is>
          <t>Admin đã đăng nhập</t>
        </is>
      </c>
      <c r="E16" t="inlineStr">
        <is>
          <t>Hiển thị đủ 4 widget thống kê, 2 biểu đồ và 2 bảng dữ liệu</t>
        </is>
      </c>
      <c r="G16" t="inlineStr">
        <is>
          <t>Untested</t>
        </is>
      </c>
    </row>
    <row r="17">
      <c r="A17" t="inlineStr">
        <is>
          <t>TC-DB02</t>
        </is>
      </c>
      <c r="B17" t="inlineStr">
        <is>
          <t>Kiểm tra hoạt động nút "Làm mới"</t>
        </is>
      </c>
      <c r="C17" t="inlineStr">
        <is>
          <t>1. Click nút "Làm mới" ở góc phải</t>
        </is>
      </c>
      <c r="D17" t="inlineStr">
        <is>
          <t>Đang ở Dashboard</t>
        </is>
      </c>
      <c r="E17" t="inlineStr">
        <is>
          <t>Icon quay tròn, dữ liệu các ô widget được tải lại chính xác</t>
        </is>
      </c>
      <c r="G17" t="inlineStr">
        <is>
          <t>Untested</t>
        </is>
      </c>
    </row>
    <row r="18">
      <c r="A18" t="inlineStr">
        <is>
          <t>TC-DB03</t>
        </is>
      </c>
      <c r="B18" t="inlineStr">
        <is>
          <t>Kiểm tra click nút "Điều phối" trên bảng YC chờ</t>
        </is>
      </c>
      <c r="C18" t="inlineStr">
        <is>
          <t>1. Click nút "Điều phối" tại một dòng</t>
        </is>
      </c>
      <c r="D18" t="inlineStr">
        <is>
          <t>Có YC đang chờ</t>
        </is>
      </c>
      <c r="E18" t="inlineStr">
        <is>
          <t>Chuyển hướng sang trang assignments với ID tương ứng</t>
        </is>
      </c>
      <c r="G18" t="inlineStr">
        <is>
          <t>Untested</t>
        </is>
      </c>
    </row>
    <row r="19">
      <c r="A19" t="inlineStr">
        <is>
          <t>TC-DB04</t>
        </is>
      </c>
      <c r="B19" t="inlineStr">
        <is>
          <t>Kiểm tra click "Xem tất cả" hàng đợi</t>
        </is>
      </c>
      <c r="C19" t="inlineStr">
        <is>
          <t>1. Click link "Xem tất cả"</t>
        </is>
      </c>
      <c r="D19" t="inlineStr">
        <is>
          <t>Đang ở Dashboard</t>
        </is>
      </c>
      <c r="E19" t="inlineStr">
        <is>
          <t>Chuyển hướng sang trang Hàng Đợi theo ưu tiên</t>
        </is>
      </c>
      <c r="G19" t="inlineStr">
        <is>
          <t>Untested</t>
        </is>
      </c>
    </row>
    <row r="20">
      <c r="A20" t="inlineStr">
        <is>
          <t>TC-DB05</t>
        </is>
      </c>
      <c r="B20" t="inlineStr">
        <is>
          <t>Kiểm tra bộ lọc "Hôm nay"</t>
        </is>
      </c>
      <c r="C20" t="inlineStr">
        <is>
          <t>1. Click nút "Hôm nay"</t>
        </is>
      </c>
      <c r="D20" t="inlineStr">
        <is>
          <t>Mặc định</t>
        </is>
      </c>
      <c r="E20" t="inlineStr">
        <is>
          <t>Biểu đồ sự cố chỉ hiển thị dữ liệu trong ngày</t>
        </is>
      </c>
      <c r="G20" t="inlineStr">
        <is>
          <t>Untested</t>
        </is>
      </c>
    </row>
    <row r="21">
      <c r="A21" t="inlineStr">
        <is>
          <t>TC-DB06</t>
        </is>
      </c>
      <c r="B21" t="inlineStr">
        <is>
          <t>Kiểm tra bộ lọc "7 ngày"</t>
        </is>
      </c>
      <c r="C21" t="inlineStr">
        <is>
          <t>1. Click nút "7 ngày"</t>
        </is>
      </c>
      <c r="D21" t="inlineStr">
        <is>
          <t>Đang ở Dashboard</t>
        </is>
      </c>
      <c r="E21" t="inlineStr">
        <is>
          <t>Biểu đồ cập nhật số liệu 7 ngày gần nhất</t>
        </is>
      </c>
      <c r="G21" t="inlineStr">
        <is>
          <t>Untested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nowSOS - Hệ thống Điều phối Cứu hộ Thông minh</t>
        </is>
      </c>
    </row>
    <row r="2">
      <c r="A2" t="inlineStr">
        <is>
          <t>Module</t>
        </is>
      </c>
      <c r="B2" t="inlineStr">
        <is>
          <t>Hàng đợi theo ưu tiên</t>
        </is>
      </c>
    </row>
    <row r="3">
      <c r="B3" t="inlineStr">
        <is>
          <t>Passed</t>
        </is>
      </c>
      <c r="C3" t="inlineStr">
        <is>
          <t>Failed</t>
        </is>
      </c>
      <c r="D3" t="inlineStr">
        <is>
          <t>Untested</t>
        </is>
      </c>
      <c r="E3" t="inlineStr">
        <is>
          <t>Blocked</t>
        </is>
      </c>
      <c r="F3" t="inlineStr">
        <is>
          <t>Total</t>
        </is>
      </c>
    </row>
    <row r="4">
      <c r="A4" t="inlineStr">
        <is>
          <t>Round 1</t>
        </is>
      </c>
      <c r="B4">
        <f>COUNTIF(G16:G100,"Passed")</f>
        <v/>
      </c>
      <c r="C4">
        <f>COUNTIF(G16:G100,"Failed")</f>
        <v/>
      </c>
      <c r="D4">
        <f>COUNTIF(G16:G100,"Untested")</f>
        <v/>
      </c>
      <c r="E4">
        <f>COUNTIF(G16:G100,"Blocked")</f>
        <v/>
      </c>
      <c r="F4">
        <f>COUNTA(A16:A100)</f>
        <v/>
      </c>
    </row>
    <row r="5">
      <c r="A5" t="inlineStr">
        <is>
          <t>Round 2</t>
        </is>
      </c>
      <c r="B5">
        <f>COUNTIF(J16:J100,"Passed")</f>
        <v/>
      </c>
      <c r="C5">
        <f>COUNTIF(J16:J100,"Failed")</f>
        <v/>
      </c>
      <c r="D5">
        <f>COUNTIF(J16:J100,"Untested")</f>
        <v/>
      </c>
      <c r="E5">
        <f>COUNTIF(J16:J100,"Blocked")</f>
        <v/>
      </c>
      <c r="F5">
        <f>COUNTA(A16:A100)</f>
        <v/>
      </c>
    </row>
    <row r="12">
      <c r="A12" t="inlineStr">
        <is>
          <t>Test Case ID</t>
        </is>
      </c>
      <c r="B12" t="inlineStr">
        <is>
          <t>Mô tả</t>
        </is>
      </c>
      <c r="C12" t="inlineStr">
        <is>
          <t>Các bước thực hiện</t>
        </is>
      </c>
      <c r="D12" t="inlineStr">
        <is>
          <t>Điều kiện</t>
        </is>
      </c>
      <c r="E12" t="inlineStr">
        <is>
          <t>Kết quả mong đợi</t>
        </is>
      </c>
      <c r="F12" t="inlineStr">
        <is>
          <t>Kết quả thực tế</t>
        </is>
      </c>
      <c r="G12" t="inlineStr">
        <is>
          <t>Kết quả Vòng 1</t>
        </is>
      </c>
      <c r="J12" t="inlineStr">
        <is>
          <t>Kết quả Vòng 2</t>
        </is>
      </c>
    </row>
    <row r="13">
      <c r="G13" t="inlineStr">
        <is>
          <t>Trạng thái</t>
        </is>
      </c>
      <c r="H13" t="inlineStr">
        <is>
          <t>Ngày</t>
        </is>
      </c>
      <c r="I13" t="inlineStr">
        <is>
          <t>Người test</t>
        </is>
      </c>
      <c r="J13" t="inlineStr">
        <is>
          <t>Trạng thái</t>
        </is>
      </c>
      <c r="K13" t="inlineStr">
        <is>
          <t>Ngày</t>
        </is>
      </c>
      <c r="L13" t="inlineStr">
        <is>
          <t>Người test</t>
        </is>
      </c>
    </row>
    <row r="15">
      <c r="A15" t="inlineStr">
        <is>
          <t>KIỂM THỬ CHỨC NĂNG HÀNG ĐỢI</t>
        </is>
      </c>
    </row>
    <row r="16">
      <c r="A16" t="inlineStr">
        <is>
          <t>TC-Q01</t>
        </is>
      </c>
      <c r="B16" t="inlineStr">
        <is>
          <t>Kiểm tra nút "Đồng bộ" danh sách</t>
        </is>
      </c>
      <c r="C16" t="inlineStr">
        <is>
          <t>1. Click "Đồng bộ" ở góc phải</t>
        </is>
      </c>
      <c r="D16" t="inlineStr">
        <is>
          <t>Đang ở trang Hàng đợi</t>
        </is>
      </c>
      <c r="E16" t="inlineStr">
        <is>
          <t>Dữ liệu YC mới từ người dân được nạp lại</t>
        </is>
      </c>
      <c r="G16" t="inlineStr">
        <is>
          <t>Untested</t>
        </is>
      </c>
    </row>
    <row r="17">
      <c r="A17" t="inlineStr">
        <is>
          <t>TC-Q02</t>
        </is>
      </c>
      <c r="B17" t="inlineStr">
        <is>
          <t>Kiểm tra nút "Phân Bổ Ngay" trên card YC</t>
        </is>
      </c>
      <c r="C17" t="inlineStr">
        <is>
          <t>1. Click nút "Phân Bổ Ngay" dưới card</t>
        </is>
      </c>
      <c r="D17" t="inlineStr">
        <is>
          <t>Có YC trong hàng đợi</t>
        </is>
      </c>
      <c r="E17" t="inlineStr">
        <is>
          <t>Chuyển sang màn hình điều phối cho YC đó</t>
        </is>
      </c>
      <c r="G17" t="inlineStr">
        <is>
          <t>Untested</t>
        </is>
      </c>
    </row>
    <row r="18">
      <c r="A18" t="inlineStr">
        <is>
          <t>TC-Q03</t>
        </is>
      </c>
      <c r="B18" t="inlineStr">
        <is>
          <t>Kiểm tra hiển thị badge mức độ khẩn cấp</t>
        </is>
      </c>
      <c r="C18" t="inlineStr">
        <is>
          <t>1. Quan sát góc trái card YC</t>
        </is>
      </c>
      <c r="D18" t="inlineStr">
        <is>
          <t>Có YC mức HIGH/CRITICAL</t>
        </is>
      </c>
      <c r="E18" t="inlineStr">
        <is>
          <t>Màu sắc badge hiển thị đúng: đỏ đậm cho Critical, đỏ tươi cho High</t>
        </is>
      </c>
      <c r="G18" t="inlineStr">
        <is>
          <t>Untested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nowSOS - Hệ thống Điều phối Cứu hộ Thông minh</t>
        </is>
      </c>
    </row>
    <row r="2">
      <c r="A2" t="inlineStr">
        <is>
          <t>Module</t>
        </is>
      </c>
      <c r="B2" t="inlineStr">
        <is>
          <t>Theo dõi cứu hộ (LIVE)</t>
        </is>
      </c>
    </row>
    <row r="3">
      <c r="B3" t="inlineStr">
        <is>
          <t>Passed</t>
        </is>
      </c>
      <c r="C3" t="inlineStr">
        <is>
          <t>Failed</t>
        </is>
      </c>
      <c r="D3" t="inlineStr">
        <is>
          <t>Untested</t>
        </is>
      </c>
      <c r="E3" t="inlineStr">
        <is>
          <t>Blocked</t>
        </is>
      </c>
      <c r="F3" t="inlineStr">
        <is>
          <t>Total</t>
        </is>
      </c>
    </row>
    <row r="4">
      <c r="A4" t="inlineStr">
        <is>
          <t>Round 1</t>
        </is>
      </c>
      <c r="B4">
        <f>COUNTIF(G16:G100,"Passed")</f>
        <v/>
      </c>
      <c r="C4">
        <f>COUNTIF(G16:G100,"Failed")</f>
        <v/>
      </c>
      <c r="D4">
        <f>COUNTIF(G16:G100,"Untested")</f>
        <v/>
      </c>
      <c r="E4">
        <f>COUNTIF(G16:G100,"Blocked")</f>
        <v/>
      </c>
      <c r="F4">
        <f>COUNTA(A16:A100)</f>
        <v/>
      </c>
    </row>
    <row r="5">
      <c r="A5" t="inlineStr">
        <is>
          <t>Round 2</t>
        </is>
      </c>
      <c r="B5">
        <f>COUNTIF(J16:J100,"Passed")</f>
        <v/>
      </c>
      <c r="C5">
        <f>COUNTIF(J16:J100,"Failed")</f>
        <v/>
      </c>
      <c r="D5">
        <f>COUNTIF(J16:J100,"Untested")</f>
        <v/>
      </c>
      <c r="E5">
        <f>COUNTIF(J16:J100,"Blocked")</f>
        <v/>
      </c>
      <c r="F5">
        <f>COUNTA(A16:A100)</f>
        <v/>
      </c>
    </row>
    <row r="12">
      <c r="A12" t="inlineStr">
        <is>
          <t>Test Case ID</t>
        </is>
      </c>
      <c r="B12" t="inlineStr">
        <is>
          <t>Mô tả</t>
        </is>
      </c>
      <c r="C12" t="inlineStr">
        <is>
          <t>Các bước thực hiện</t>
        </is>
      </c>
      <c r="D12" t="inlineStr">
        <is>
          <t>Điều kiện</t>
        </is>
      </c>
      <c r="E12" t="inlineStr">
        <is>
          <t>Kết quả mong đợi</t>
        </is>
      </c>
      <c r="F12" t="inlineStr">
        <is>
          <t>Kết quả thực tế</t>
        </is>
      </c>
      <c r="G12" t="inlineStr">
        <is>
          <t>Kết quả Vòng 1</t>
        </is>
      </c>
      <c r="J12" t="inlineStr">
        <is>
          <t>Kết quả Vòng 2</t>
        </is>
      </c>
    </row>
    <row r="13">
      <c r="G13" t="inlineStr">
        <is>
          <t>Trạng thái</t>
        </is>
      </c>
      <c r="H13" t="inlineStr">
        <is>
          <t>Ngày</t>
        </is>
      </c>
      <c r="I13" t="inlineStr">
        <is>
          <t>Người test</t>
        </is>
      </c>
      <c r="J13" t="inlineStr">
        <is>
          <t>Trạng thái</t>
        </is>
      </c>
      <c r="K13" t="inlineStr">
        <is>
          <t>Ngày</t>
        </is>
      </c>
      <c r="L13" t="inlineStr">
        <is>
          <t>Người test</t>
        </is>
      </c>
    </row>
    <row r="15">
      <c r="A15" t="inlineStr">
        <is>
          <t>KIỂM THỬ TRANG THEO DÕI LIVE</t>
        </is>
      </c>
    </row>
    <row r="16">
      <c r="A16" t="inlineStr">
        <is>
          <t>TC-TD01</t>
        </is>
      </c>
      <c r="B16" t="inlineStr">
        <is>
          <t>Kiểm tra hiển thị danh sách YC ĐANG THEO DÕI</t>
        </is>
      </c>
      <c r="C16" t="inlineStr">
        <is>
          <t>1. Vào trang "Theo dõi cứu hộ"
2. Xem danh sách bên trái</t>
        </is>
      </c>
      <c r="D16" t="inlineStr">
        <is>
          <t>Hệ thống có YC đang xử lý</t>
        </is>
      </c>
      <c r="E16" t="inlineStr">
        <is>
          <t>Hiển thị badge số lượng (ví dụ: 9) và các card YC</t>
        </is>
      </c>
      <c r="G16" t="inlineStr">
        <is>
          <t>Untested</t>
        </is>
      </c>
    </row>
    <row r="17">
      <c r="A17" t="inlineStr">
        <is>
          <t>TC-TD02</t>
        </is>
      </c>
      <c r="B17" t="inlineStr">
        <is>
          <t>Kiểm tra click chọn YC để xem chi tiết</t>
        </is>
      </c>
      <c r="C17" t="inlineStr">
        <is>
          <t>1. Click chọn YC #30</t>
        </is>
      </c>
      <c r="D17" t="inlineStr">
        <is>
          <t>Danh sách có nhiều YC</t>
        </is>
      </c>
      <c r="E17" t="inlineStr">
        <is>
          <t>Ô bên phải cập nhật đúng: Lũ lụt, Hoàng Thị Hạnh, 0905555555</t>
        </is>
      </c>
      <c r="G17" t="inlineStr">
        <is>
          <t>Untested</t>
        </is>
      </c>
    </row>
    <row r="18">
      <c r="A18" t="inlineStr">
        <is>
          <t>TC-TD03</t>
        </is>
      </c>
      <c r="B18" t="inlineStr">
        <is>
          <t>Kiểm tra nút "Đồng bộ" live data</t>
        </is>
      </c>
      <c r="C18" t="inlineStr">
        <is>
          <t>1. Click nút "Đồng bộ" trên cùng</t>
        </is>
      </c>
      <c r="D18" t="inlineStr">
        <is>
          <t>Đang ở trang</t>
        </is>
      </c>
      <c r="E18" t="inlineStr">
        <is>
          <t>Tải lại danh sách live không bị giật lag</t>
        </is>
      </c>
      <c r="G18" t="inlineStr">
        <is>
          <t>Untested</t>
        </is>
      </c>
    </row>
    <row r="19">
      <c r="A19" t="inlineStr">
        <is>
          <t>TC-TD04</t>
        </is>
      </c>
      <c r="B19" t="inlineStr">
        <is>
          <t>Kiểm tra nút "X" đóng panel đơn vị cứu hộ</t>
        </is>
      </c>
      <c r="C19" t="inlineStr">
        <is>
          <t>1. Click nút "X" tại panel "THÔNG TIN ĐƠN VỊ CỨU HỘ"</t>
        </is>
      </c>
      <c r="D19" t="inlineStr">
        <is>
          <t>Đã chọn 1 YC</t>
        </is>
      </c>
      <c r="E19" t="inlineStr">
        <is>
          <t>Ẩn/Đóng thông tin đơn vị cứu hộ tạm thời</t>
        </is>
      </c>
      <c r="G19" t="inlineStr">
        <is>
          <t>Untested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nowSOS - Hệ thống Điều phối Cứu hộ Thông minh</t>
        </is>
      </c>
    </row>
    <row r="2">
      <c r="A2" t="inlineStr">
        <is>
          <t>Module</t>
        </is>
      </c>
      <c r="B2" t="inlineStr">
        <is>
          <t>Phân công đội cứu hộ</t>
        </is>
      </c>
    </row>
    <row r="3">
      <c r="B3" t="inlineStr">
        <is>
          <t>Passed</t>
        </is>
      </c>
      <c r="C3" t="inlineStr">
        <is>
          <t>Failed</t>
        </is>
      </c>
      <c r="D3" t="inlineStr">
        <is>
          <t>Untested</t>
        </is>
      </c>
      <c r="E3" t="inlineStr">
        <is>
          <t>Blocked</t>
        </is>
      </c>
      <c r="F3" t="inlineStr">
        <is>
          <t>Total</t>
        </is>
      </c>
    </row>
    <row r="4">
      <c r="A4" t="inlineStr">
        <is>
          <t>Round 1</t>
        </is>
      </c>
      <c r="B4">
        <f>COUNTIF(G16:G100,"Passed")</f>
        <v/>
      </c>
      <c r="C4">
        <f>COUNTIF(G16:G100,"Failed")</f>
        <v/>
      </c>
      <c r="D4">
        <f>COUNTIF(G16:G100,"Untested")</f>
        <v/>
      </c>
      <c r="E4">
        <f>COUNTIF(G16:G100,"Blocked")</f>
        <v/>
      </c>
      <c r="F4">
        <f>COUNTA(A16:A100)</f>
        <v/>
      </c>
    </row>
    <row r="5">
      <c r="A5" t="inlineStr">
        <is>
          <t>Round 2</t>
        </is>
      </c>
      <c r="B5">
        <f>COUNTIF(J16:J100,"Passed")</f>
        <v/>
      </c>
      <c r="C5">
        <f>COUNTIF(J16:J100,"Failed")</f>
        <v/>
      </c>
      <c r="D5">
        <f>COUNTIF(J16:J100,"Untested")</f>
        <v/>
      </c>
      <c r="E5">
        <f>COUNTIF(J16:J100,"Blocked")</f>
        <v/>
      </c>
      <c r="F5">
        <f>COUNTA(A16:A100)</f>
        <v/>
      </c>
    </row>
    <row r="12">
      <c r="A12" t="inlineStr">
        <is>
          <t>Test Case ID</t>
        </is>
      </c>
      <c r="B12" t="inlineStr">
        <is>
          <t>Mô tả</t>
        </is>
      </c>
      <c r="C12" t="inlineStr">
        <is>
          <t>Các bước thực hiện</t>
        </is>
      </c>
      <c r="D12" t="inlineStr">
        <is>
          <t>Điều kiện</t>
        </is>
      </c>
      <c r="E12" t="inlineStr">
        <is>
          <t>Kết quả mong đợi</t>
        </is>
      </c>
      <c r="F12" t="inlineStr">
        <is>
          <t>Kết quả thực tế</t>
        </is>
      </c>
      <c r="G12" t="inlineStr">
        <is>
          <t>Kết quả Vòng 1</t>
        </is>
      </c>
      <c r="J12" t="inlineStr">
        <is>
          <t>Kết quả Vòng 2</t>
        </is>
      </c>
    </row>
    <row r="13">
      <c r="G13" t="inlineStr">
        <is>
          <t>Trạng thái</t>
        </is>
      </c>
      <c r="H13" t="inlineStr">
        <is>
          <t>Ngày</t>
        </is>
      </c>
      <c r="I13" t="inlineStr">
        <is>
          <t>Người test</t>
        </is>
      </c>
      <c r="J13" t="inlineStr">
        <is>
          <t>Trạng thái</t>
        </is>
      </c>
      <c r="K13" t="inlineStr">
        <is>
          <t>Ngày</t>
        </is>
      </c>
      <c r="L13" t="inlineStr">
        <is>
          <t>Người test</t>
        </is>
      </c>
    </row>
    <row r="15">
      <c r="A15" t="inlineStr">
        <is>
          <t>KIỂM THỬ ĐIỀU PHỐI ĐỘI</t>
        </is>
      </c>
    </row>
    <row r="16">
      <c r="A16" t="inlineStr">
        <is>
          <t>TC-PC01</t>
        </is>
      </c>
      <c r="B16" t="inlineStr">
        <is>
          <t>Kiểm tra nút "Chọn tất cả" đội</t>
        </is>
      </c>
      <c r="C16" t="inlineStr">
        <is>
          <t>1. Click "Chọn tất cả" ở góc phải</t>
        </is>
      </c>
      <c r="D16" t="inlineStr">
        <is>
          <t>Đã chọn 1 YC xử lý</t>
        </is>
      </c>
      <c r="E16" t="inlineStr">
        <is>
          <t>Tất cả các đội cứu hộ đủ điều kiện được tick chọn</t>
        </is>
      </c>
      <c r="G16" t="inlineStr">
        <is>
          <t>Untested</t>
        </is>
      </c>
    </row>
    <row r="17">
      <c r="A17" t="inlineStr">
        <is>
          <t>TC-PC02</t>
        </is>
      </c>
      <c r="B17" t="inlineStr">
        <is>
          <t>Kiểm tra nút "Bỏ chọn" đội</t>
        </is>
      </c>
      <c r="C17" t="inlineStr">
        <is>
          <t>1. Click "Bỏ chọn"</t>
        </is>
      </c>
      <c r="D17" t="inlineStr">
        <is>
          <t>Đang chọn nhiều đội</t>
        </is>
      </c>
      <c r="E17" t="inlineStr">
        <is>
          <t>Xóa toàn bộ các đội đang chọn về trạng thái trống</t>
        </is>
      </c>
      <c r="G17" t="inlineStr">
        <is>
          <t>Untested</t>
        </is>
      </c>
    </row>
    <row r="18">
      <c r="A18" t="inlineStr">
        <is>
          <t>TC-PC03</t>
        </is>
      </c>
      <c r="B18" t="inlineStr">
        <is>
          <t>Kiểm tra click "Chốt &amp; Xuất Phát Lệnh"</t>
        </is>
      </c>
      <c r="C18" t="inlineStr">
        <is>
          <t>1. Chọn 1 đội
2. Click "Chốt &amp; Xuất Phát Lệnh"</t>
        </is>
      </c>
      <c r="D18" t="inlineStr">
        <is>
          <t>Đã chọn YC và đội</t>
        </is>
      </c>
      <c r="E18" t="inlineStr">
        <is>
          <t>Nút hiện spinner, gửi API thành công và chuyển trạng thái nhiệm vụ</t>
        </is>
      </c>
      <c r="G18" t="inlineStr">
        <is>
          <t>Untested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2026-04-28T14:37:57Z</dcterms:created>
  <dcterms:modified xmlns:dcterms="http://purl.org/dc/terms/" xmlns:xsi="http://www.w3.org/2001/XMLSchema-instance" xsi:type="dcterms:W3CDTF">2026-04-28T14:37:57Z</dcterms:modified>
</cp:coreProperties>
</file>